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ntimundifalgueras/AI Agents/e&amp; Proposal/Internal Analysis/"/>
    </mc:Choice>
  </mc:AlternateContent>
  <xr:revisionPtr revIDLastSave="0" documentId="13_ncr:1_{9919836A-2252-444D-8210-A6B4D15742F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0. Executive Summary" sheetId="1" r:id="rId1"/>
    <sheet name="1. Cover &amp; Assumptions" sheetId="2" r:id="rId2"/>
    <sheet name="2. Roles &amp; Rates" sheetId="3" r:id="rId3"/>
    <sheet name="3. Phase Staffing" sheetId="4" r:id="rId4"/>
    <sheet name="4. Phase Effort &amp; Cost" sheetId="5" r:id="rId5"/>
    <sheet name="5. Other Costs" sheetId="6" r:id="rId6"/>
    <sheet name="6. Wave 2-4 Build Costs" sheetId="7" r:id="rId7"/>
    <sheet name="7. Pricing Summary" sheetId="8" r:id="rId8"/>
    <sheet name="8. Revenue Share Model" sheetId="9" r:id="rId9"/>
    <sheet name="9. Payment Milestones" sheetId="10" r:id="rId10"/>
    <sheet name="10. Sensitivit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  <c r="C12" i="8"/>
  <c r="C9" i="8"/>
  <c r="C8" i="8"/>
  <c r="E17" i="11"/>
  <c r="D17" i="11"/>
  <c r="C17" i="11"/>
  <c r="E16" i="11"/>
  <c r="D16" i="11"/>
  <c r="C16" i="11"/>
  <c r="E15" i="11"/>
  <c r="D15" i="11"/>
  <c r="C15" i="11"/>
  <c r="D10" i="10"/>
  <c r="D26" i="9"/>
  <c r="D12" i="9"/>
  <c r="C12" i="9"/>
  <c r="C26" i="9" s="1"/>
  <c r="E11" i="9"/>
  <c r="E12" i="9" s="1"/>
  <c r="D11" i="9"/>
  <c r="C11" i="9"/>
  <c r="E10" i="9"/>
  <c r="D10" i="9"/>
  <c r="C10" i="9"/>
  <c r="C22" i="1" s="1"/>
  <c r="F22" i="1" s="1"/>
  <c r="G20" i="7"/>
  <c r="H16" i="7"/>
  <c r="G16" i="7"/>
  <c r="F16" i="7"/>
  <c r="E16" i="7"/>
  <c r="D16" i="7"/>
  <c r="I15" i="7"/>
  <c r="C15" i="7"/>
  <c r="I14" i="7"/>
  <c r="C14" i="7"/>
  <c r="I13" i="7"/>
  <c r="C13" i="7"/>
  <c r="I12" i="7"/>
  <c r="C12" i="7"/>
  <c r="I11" i="7"/>
  <c r="C11" i="7"/>
  <c r="I10" i="7"/>
  <c r="C10" i="7"/>
  <c r="I9" i="7"/>
  <c r="C9" i="7"/>
  <c r="I8" i="7"/>
  <c r="C8" i="7"/>
  <c r="F20" i="7" s="1"/>
  <c r="I7" i="7"/>
  <c r="C7" i="7"/>
  <c r="E20" i="7" s="1"/>
  <c r="I6" i="7"/>
  <c r="I16" i="7" s="1"/>
  <c r="C6" i="7"/>
  <c r="E17" i="6"/>
  <c r="E16" i="6"/>
  <c r="E15" i="6"/>
  <c r="E14" i="6"/>
  <c r="E13" i="6"/>
  <c r="E12" i="6"/>
  <c r="E11" i="6"/>
  <c r="E10" i="6"/>
  <c r="E9" i="6"/>
  <c r="E8" i="6"/>
  <c r="E7" i="6"/>
  <c r="E18" i="6" s="1"/>
  <c r="E6" i="6"/>
  <c r="C16" i="5"/>
  <c r="H15" i="5"/>
  <c r="G15" i="5"/>
  <c r="F15" i="5"/>
  <c r="E15" i="5"/>
  <c r="C15" i="5"/>
  <c r="I14" i="5"/>
  <c r="H14" i="5"/>
  <c r="G14" i="5"/>
  <c r="F14" i="5"/>
  <c r="C14" i="5"/>
  <c r="H13" i="5"/>
  <c r="G13" i="5"/>
  <c r="C13" i="5"/>
  <c r="C12" i="5"/>
  <c r="I11" i="5"/>
  <c r="C11" i="5"/>
  <c r="F11" i="5" s="1"/>
  <c r="C10" i="5"/>
  <c r="E10" i="5" s="1"/>
  <c r="D9" i="5"/>
  <c r="C9" i="5"/>
  <c r="C8" i="5"/>
  <c r="H7" i="5"/>
  <c r="H17" i="5" s="1"/>
  <c r="G7" i="5"/>
  <c r="F7" i="5"/>
  <c r="E7" i="5"/>
  <c r="C7" i="5"/>
  <c r="G17" i="4"/>
  <c r="H16" i="4"/>
  <c r="I16" i="5" s="1"/>
  <c r="G16" i="4"/>
  <c r="H16" i="5" s="1"/>
  <c r="F16" i="4"/>
  <c r="G16" i="5" s="1"/>
  <c r="E16" i="4"/>
  <c r="F16" i="5" s="1"/>
  <c r="D16" i="4"/>
  <c r="E16" i="5" s="1"/>
  <c r="C16" i="4"/>
  <c r="D16" i="5" s="1"/>
  <c r="H15" i="4"/>
  <c r="I15" i="5" s="1"/>
  <c r="G15" i="4"/>
  <c r="F15" i="4"/>
  <c r="E15" i="4"/>
  <c r="D15" i="4"/>
  <c r="C15" i="4"/>
  <c r="D15" i="5" s="1"/>
  <c r="I14" i="4"/>
  <c r="H14" i="4"/>
  <c r="G14" i="4"/>
  <c r="F14" i="4"/>
  <c r="E14" i="4"/>
  <c r="D14" i="4"/>
  <c r="E14" i="5" s="1"/>
  <c r="C14" i="4"/>
  <c r="D14" i="5" s="1"/>
  <c r="J14" i="5" s="1"/>
  <c r="I13" i="4"/>
  <c r="H13" i="4"/>
  <c r="I13" i="5" s="1"/>
  <c r="G13" i="4"/>
  <c r="F13" i="4"/>
  <c r="E13" i="4"/>
  <c r="F13" i="5" s="1"/>
  <c r="D13" i="4"/>
  <c r="E13" i="5" s="1"/>
  <c r="C13" i="4"/>
  <c r="D13" i="5" s="1"/>
  <c r="J13" i="5" s="1"/>
  <c r="H12" i="4"/>
  <c r="I12" i="5" s="1"/>
  <c r="G12" i="4"/>
  <c r="H12" i="5" s="1"/>
  <c r="F12" i="4"/>
  <c r="G12" i="5" s="1"/>
  <c r="E12" i="4"/>
  <c r="F12" i="5" s="1"/>
  <c r="D12" i="4"/>
  <c r="E12" i="5" s="1"/>
  <c r="C12" i="4"/>
  <c r="D12" i="5" s="1"/>
  <c r="H11" i="4"/>
  <c r="G11" i="4"/>
  <c r="H11" i="5" s="1"/>
  <c r="F11" i="4"/>
  <c r="G11" i="5" s="1"/>
  <c r="E11" i="4"/>
  <c r="D11" i="4"/>
  <c r="E11" i="5" s="1"/>
  <c r="C11" i="4"/>
  <c r="H10" i="4"/>
  <c r="I10" i="5" s="1"/>
  <c r="G10" i="4"/>
  <c r="H10" i="5" s="1"/>
  <c r="F10" i="4"/>
  <c r="G10" i="5" s="1"/>
  <c r="E10" i="4"/>
  <c r="F10" i="5" s="1"/>
  <c r="D10" i="4"/>
  <c r="C10" i="4"/>
  <c r="H9" i="4"/>
  <c r="I9" i="5" s="1"/>
  <c r="G9" i="4"/>
  <c r="H9" i="5" s="1"/>
  <c r="F9" i="4"/>
  <c r="G9" i="5" s="1"/>
  <c r="E9" i="4"/>
  <c r="F9" i="5" s="1"/>
  <c r="D9" i="4"/>
  <c r="I9" i="4" s="1"/>
  <c r="C9" i="4"/>
  <c r="H8" i="4"/>
  <c r="I8" i="5" s="1"/>
  <c r="G8" i="4"/>
  <c r="H8" i="5" s="1"/>
  <c r="F8" i="4"/>
  <c r="G8" i="5" s="1"/>
  <c r="E8" i="4"/>
  <c r="F8" i="5" s="1"/>
  <c r="D8" i="4"/>
  <c r="E8" i="5" s="1"/>
  <c r="C8" i="4"/>
  <c r="D8" i="5" s="1"/>
  <c r="H7" i="4"/>
  <c r="I7" i="5" s="1"/>
  <c r="G7" i="4"/>
  <c r="F7" i="4"/>
  <c r="E7" i="4"/>
  <c r="D7" i="4"/>
  <c r="C7" i="4"/>
  <c r="D7" i="5" s="1"/>
  <c r="D29" i="1"/>
  <c r="C29" i="1"/>
  <c r="D23" i="1"/>
  <c r="C23" i="1"/>
  <c r="E22" i="1"/>
  <c r="D22" i="1"/>
  <c r="E21" i="1"/>
  <c r="D21" i="1"/>
  <c r="C21" i="1"/>
  <c r="E17" i="1"/>
  <c r="J8" i="5" l="1"/>
  <c r="J12" i="5"/>
  <c r="J9" i="5"/>
  <c r="J15" i="5"/>
  <c r="G17" i="5"/>
  <c r="E21" i="7"/>
  <c r="E22" i="7" s="1"/>
  <c r="C19" i="8" s="1"/>
  <c r="D21" i="7"/>
  <c r="H21" i="7"/>
  <c r="G21" i="7"/>
  <c r="G22" i="7" s="1"/>
  <c r="C21" i="8" s="1"/>
  <c r="F21" i="7"/>
  <c r="E29" i="1"/>
  <c r="F29" i="1" s="1"/>
  <c r="E23" i="1"/>
  <c r="E26" i="9"/>
  <c r="I17" i="5"/>
  <c r="G16" i="10" s="1"/>
  <c r="E17" i="5"/>
  <c r="J7" i="5"/>
  <c r="J16" i="5"/>
  <c r="F23" i="1"/>
  <c r="F17" i="5"/>
  <c r="F16" i="10" s="1"/>
  <c r="F22" i="7"/>
  <c r="C20" i="8" s="1"/>
  <c r="I12" i="4"/>
  <c r="F17" i="4"/>
  <c r="E9" i="5"/>
  <c r="D10" i="5"/>
  <c r="J10" i="5" s="1"/>
  <c r="H20" i="7"/>
  <c r="H22" i="7" s="1"/>
  <c r="C22" i="8" s="1"/>
  <c r="I11" i="4"/>
  <c r="I8" i="4"/>
  <c r="I16" i="4"/>
  <c r="D20" i="7"/>
  <c r="I7" i="4"/>
  <c r="I15" i="4"/>
  <c r="C17" i="4"/>
  <c r="D17" i="4"/>
  <c r="E17" i="4"/>
  <c r="D11" i="5"/>
  <c r="J11" i="5" s="1"/>
  <c r="I10" i="4"/>
  <c r="H17" i="4"/>
  <c r="D19" i="8" l="1"/>
  <c r="E19" i="8" s="1"/>
  <c r="D21" i="8"/>
  <c r="E21" i="8" s="1"/>
  <c r="D20" i="9" s="1"/>
  <c r="I20" i="7"/>
  <c r="D22" i="7"/>
  <c r="E20" i="8"/>
  <c r="D19" i="9" s="1"/>
  <c r="D20" i="8"/>
  <c r="D22" i="8"/>
  <c r="E22" i="8"/>
  <c r="E21" i="9" s="1"/>
  <c r="E22" i="9" s="1"/>
  <c r="K16" i="5"/>
  <c r="K10" i="5"/>
  <c r="F26" i="9"/>
  <c r="I17" i="4"/>
  <c r="D17" i="5"/>
  <c r="J17" i="5"/>
  <c r="K11" i="5" s="1"/>
  <c r="K7" i="5"/>
  <c r="I21" i="7"/>
  <c r="E16" i="10"/>
  <c r="D18" i="9" l="1"/>
  <c r="C18" i="9"/>
  <c r="C7" i="8"/>
  <c r="K14" i="5"/>
  <c r="K13" i="5"/>
  <c r="E27" i="9"/>
  <c r="E28" i="9" s="1"/>
  <c r="E28" i="1"/>
  <c r="E30" i="1" s="1"/>
  <c r="C16" i="10"/>
  <c r="D16" i="10"/>
  <c r="D17" i="10" s="1"/>
  <c r="K9" i="5"/>
  <c r="K12" i="5"/>
  <c r="C18" i="8"/>
  <c r="I22" i="7"/>
  <c r="D12" i="1" s="1"/>
  <c r="K15" i="5"/>
  <c r="K8" i="5"/>
  <c r="C10" i="8" l="1"/>
  <c r="C11" i="8" s="1"/>
  <c r="C23" i="8"/>
  <c r="D18" i="8"/>
  <c r="D23" i="8" s="1"/>
  <c r="C30" i="8" l="1"/>
  <c r="C40" i="8"/>
  <c r="B12" i="1"/>
  <c r="C39" i="8"/>
  <c r="C38" i="8"/>
  <c r="F12" i="1"/>
  <c r="E18" i="8"/>
  <c r="F8" i="10" l="1"/>
  <c r="F15" i="10" s="1"/>
  <c r="F17" i="10" s="1"/>
  <c r="F7" i="10"/>
  <c r="E15" i="10" s="1"/>
  <c r="E17" i="10" s="1"/>
  <c r="C16" i="9"/>
  <c r="B16" i="1"/>
  <c r="F6" i="10"/>
  <c r="C35" i="1"/>
  <c r="C14" i="8"/>
  <c r="C17" i="1" s="1"/>
  <c r="F9" i="10"/>
  <c r="G15" i="10" s="1"/>
  <c r="G17" i="10" s="1"/>
  <c r="C35" i="8"/>
  <c r="C45" i="8"/>
  <c r="C27" i="8"/>
  <c r="C17" i="9"/>
  <c r="D17" i="9"/>
  <c r="D22" i="9" s="1"/>
  <c r="E23" i="8"/>
  <c r="D27" i="9" l="1"/>
  <c r="D28" i="9" s="1"/>
  <c r="D28" i="1"/>
  <c r="D30" i="1" s="1"/>
  <c r="C28" i="8"/>
  <c r="C29" i="8" s="1"/>
  <c r="D16" i="1"/>
  <c r="F10" i="10"/>
  <c r="C15" i="10"/>
  <c r="C17" i="10" s="1"/>
  <c r="C18" i="10" s="1"/>
  <c r="D18" i="10" s="1"/>
  <c r="E18" i="10" s="1"/>
  <c r="F18" i="10" s="1"/>
  <c r="G18" i="10" s="1"/>
  <c r="C22" i="9"/>
  <c r="E23" i="11" l="1"/>
  <c r="C21" i="11"/>
  <c r="D23" i="11"/>
  <c r="C23" i="11"/>
  <c r="E22" i="11"/>
  <c r="D22" i="11"/>
  <c r="C22" i="11"/>
  <c r="E21" i="11"/>
  <c r="D21" i="11"/>
  <c r="F16" i="1"/>
  <c r="C28" i="1"/>
  <c r="C27" i="9"/>
  <c r="C30" i="1" l="1"/>
  <c r="F28" i="1"/>
  <c r="F30" i="1" s="1"/>
  <c r="F27" i="9"/>
  <c r="C28" i="9"/>
  <c r="F28" i="9" s="1"/>
</calcChain>
</file>

<file path=xl/sharedStrings.xml><?xml version="1.0" encoding="utf-8"?>
<sst xmlns="http://schemas.openxmlformats.org/spreadsheetml/2006/main" count="522" uniqueCount="372">
  <si>
    <t>AIdeology × e&amp;  —  SMB Internal Pricing Summary</t>
  </si>
  <si>
    <t>One page. All the numbers that matter. Detail in tabs 1-10.</t>
  </si>
  <si>
    <t>A.  WHAT ARE WE BUILDING?</t>
  </si>
  <si>
    <t>We build an AI platform for e&amp; that lets small businesses subscribe to AI agents (Customer, Sales, Comms, Finance, Ops, People).</t>
  </si>
  <si>
    <t>We earn money two ways:  (1) fixed fees for building each wave, and  (2) a % of every SMB subscription (revenue share) forever.</t>
  </si>
  <si>
    <t>B.  WHAT DOES IT COST US?</t>
  </si>
  <si>
    <t>Wave 1 cost (platform + Customer Agent)</t>
  </si>
  <si>
    <t>Waves 2-4 cost (5 more agents)</t>
  </si>
  <si>
    <t>Total cost (all waves)</t>
  </si>
  <si>
    <t>C.  WHAT DO WE CHARGE e&amp;?  (fixed fees)</t>
  </si>
  <si>
    <t>Wave 1 price to e&amp; (40% margin)</t>
  </si>
  <si>
    <t>Waves 2-4 price to e&amp; (45% margin)</t>
  </si>
  <si>
    <t>Total fixed-fee envelope</t>
  </si>
  <si>
    <t>Our margin on Wave 1:</t>
  </si>
  <si>
    <t>Our margin on Waves 2-4:</t>
  </si>
  <si>
    <t>D.  RECURRING REVENUE  —  our % of every SMB subscription</t>
  </si>
  <si>
    <t>Year 1</t>
  </si>
  <si>
    <t>Year 2</t>
  </si>
  <si>
    <t>Year 3</t>
  </si>
  <si>
    <t>3-Year Total</t>
  </si>
  <si>
    <t>Paying SMBs (avg)</t>
  </si>
  <si>
    <t>e&amp; gross revenue</t>
  </si>
  <si>
    <t>Our rev-share (15%)</t>
  </si>
  <si>
    <t>E.  TOTAL AIDEOLOGY REVENUE  (3 years)</t>
  </si>
  <si>
    <t>Fixed fees (building)</t>
  </si>
  <si>
    <t>Rev-share (recurring)</t>
  </si>
  <si>
    <t>TOTAL</t>
  </si>
  <si>
    <t>F.  THREE WAYS TO PRICE THE DEAL</t>
  </si>
  <si>
    <t>Option A: Full price</t>
  </si>
  <si>
    <t>Option B: Hybrid</t>
  </si>
  <si>
    <t>Option C: Land &amp; expand</t>
  </si>
  <si>
    <t>Up-front fee (Wave 1)</t>
  </si>
  <si>
    <t>Rev-share %</t>
  </si>
  <si>
    <t>Best for</t>
  </si>
  <si>
    <t>AIdeology cash flow</t>
  </si>
  <si>
    <t>Balanced risk/reward</t>
  </si>
  <si>
    <t>Easiest to sell</t>
  </si>
  <si>
    <t>Risk</t>
  </si>
  <si>
    <t>Hardest to close</t>
  </si>
  <si>
    <t>Moderate</t>
  </si>
  <si>
    <t>We lose money on Wave 1</t>
  </si>
  <si>
    <t>G.  KEY RISK  —  our cost vs. what we proposed in the commercial framework</t>
  </si>
  <si>
    <t>The commercial framework we showed e&amp; quoted $150K-$250K for the implementation. Our internal model shows it actually costs us $689K.</t>
  </si>
  <si>
    <t>If we charge $250K, we lose ~$439K on Wave 1. We need ~2.2 years of rev-share to break even. This is only viable if we believe in the subscriber ramp.</t>
  </si>
  <si>
    <t>Recommendation: negotiate a higher up-front fee ($500K+) OR a higher rev-share (18-20%) to protect our margins. See Sheet 7 for the three options.</t>
  </si>
  <si>
    <t>AIdeology — Internal Pricing &amp; Staffing Analysis</t>
  </si>
  <si>
    <t>e&amp; B2B Acceleration · Pillar 01 — SMB Platform-Centric Agentic Solutions · v0.1 DRAFT</t>
  </si>
  <si>
    <t>INTERNAL — NOT FOR e&amp;. Pricing model for AIdeology team only.</t>
  </si>
  <si>
    <t>Date: 2026-05-10</t>
  </si>
  <si>
    <t>How to use this workbook</t>
  </si>
  <si>
    <t>• All blue-text / yellow-shaded cells are editable inputs (rates, allocations, durations, margins, subscriber ramp).</t>
  </si>
  <si>
    <t>• All green-text cells are formulas linking other sheets — do not overwrite.</t>
  </si>
  <si>
    <t>• Sheet 2: Roles &amp; Rates — adjust daily costs and bill rates here.</t>
  </si>
  <si>
    <t>• Sheet 3: Phase Staffing — Wave 1 (SMB Launch) headcount and allocation per phase.</t>
  </si>
  <si>
    <t>• Sheet 4: Phase Effort &amp; Cost — calculated from staffing × rates.</t>
  </si>
  <si>
    <t>• Sheet 5: Other Costs — software, cloud, voice, WhatsApp BSP, contingency.</t>
  </si>
  <si>
    <t>• Sheet 6: Wave 2-4 Build Costs — Sales+Comms, Finance+Ops, People agentic solutions (incremental on top of platform).</t>
  </si>
  <si>
    <t>• Sheet 7: Pricing Summary — fixed implementation fee per wave + AIdeology margin.</t>
  </si>
  <si>
    <t>• Sheet 8: Revenue Share Model — subscriber ramp × ARPU × rev-share % over 3 years.</t>
  </si>
  <si>
    <t>• Sheet 9: Payment Milestones — Wave 1 stage-gated payments.</t>
  </si>
  <si>
    <t>• Sheet 10: Sensitivity — adoption × rev-share scenarios for AIdeology 3-year revenue.</t>
  </si>
  <si>
    <t>Global assumptions</t>
  </si>
  <si>
    <t>Assumption</t>
  </si>
  <si>
    <t>Value</t>
  </si>
  <si>
    <t>Unit</t>
  </si>
  <si>
    <t>Notes / source</t>
  </si>
  <si>
    <t>Wave 1 (SMB Launch) duration</t>
  </si>
  <si>
    <t>weeks</t>
  </si>
  <si>
    <t>Per launch plan: W1-15 covers M1 foundations → M6 GA + hypercare ramp.</t>
  </si>
  <si>
    <t>Working days per week</t>
  </si>
  <si>
    <t>days</t>
  </si>
  <si>
    <t>Standard.</t>
  </si>
  <si>
    <t>Hours per working day</t>
  </si>
  <si>
    <t>hours</t>
  </si>
  <si>
    <t>Currency</t>
  </si>
  <si>
    <t>USD</t>
  </si>
  <si>
    <t>—</t>
  </si>
  <si>
    <t>Internal model; final pricing to e&amp; may be issued in AED or USD.</t>
  </si>
  <si>
    <t>FX assumption (USD→AED)</t>
  </si>
  <si>
    <t>rate</t>
  </si>
  <si>
    <t>Pegged.</t>
  </si>
  <si>
    <t>AIdeology target gross margin (Wave 1 fixed fee)</t>
  </si>
  <si>
    <t>%</t>
  </si>
  <si>
    <t>Higher than ADNOC: SMB platform is reusable IP; we own the blueprint stack.</t>
  </si>
  <si>
    <t>Contingency on direct cost</t>
  </si>
  <si>
    <t>Buffer for unknowns (sandbox slip, BSP approval delays, beta iteration).</t>
  </si>
  <si>
    <t>Risk reserve (held back)</t>
  </si>
  <si>
    <t>Held internally; not in price to e&amp;.</t>
  </si>
  <si>
    <t>Wave 2-4 target gross margin (per-wave fee)</t>
  </si>
  <si>
    <t>Reusing platform — higher margin justified.</t>
  </si>
  <si>
    <t>Subscriber ramp — start month (after GA)</t>
  </si>
  <si>
    <t>month</t>
  </si>
  <si>
    <t>Month 1 = first subscribers post GA. Cash-in starts Month 4 of programme.</t>
  </si>
  <si>
    <t>ARPU per SMB tenant (USD/month)</t>
  </si>
  <si>
    <t>$/mo</t>
  </si>
  <si>
    <t>Per JSX commercial framework rev forecast ($60/mo blended).</t>
  </si>
  <si>
    <t>Rev-share % to AIdeology (mid)</t>
  </si>
  <si>
    <t>Range 10-20%, mid scenario 15%. Sensitivity sheet covers low/mid/high.</t>
  </si>
  <si>
    <t>Annual churn rate</t>
  </si>
  <si>
    <t>Net of upgrades. ~5%→3%/mo per JSX → ~20% annualised conservative.</t>
  </si>
  <si>
    <t>Rev-share term (years)</t>
  </si>
  <si>
    <t>years</t>
  </si>
  <si>
    <t>Per JSX: 24-month minimum partnership, modelled to year 3.</t>
  </si>
  <si>
    <t>Important disclaimers</t>
  </si>
  <si>
    <t>• Daily rates in Sheet 2 are PLACEHOLDER values for AIdeology to validate against actual cost structure.</t>
  </si>
  <si>
    <t>• Headcount and allocation per phase are AIdeology's first-pass sizing. Adjust based on actual team capacity.</t>
  </si>
  <si>
    <t>• Wave 2-4 sizing in Sheet 6 assumes the base platform from Wave 1 is reused — only solution-layer work remains.</t>
  </si>
  <si>
    <t>• Subscriber ramp and churn in Sheet 8 are illustrative; replace with e&amp; demand-model figures once available.</t>
  </si>
  <si>
    <t>• Voice (STT/TTS) and WhatsApp BSP costs are estimates pending vendor quotes (Deepgram, ElevenLabs, e&amp; BSP).</t>
  </si>
  <si>
    <t>• Cloud cost depends on whether deployment is on e&amp; OCI Dedicated Region / Azure CSP via e&amp; / G42; revise once landing zone confirmed.</t>
  </si>
  <si>
    <t>Roles &amp; Daily Rates</t>
  </si>
  <si>
    <t>IN PLAIN ENGLISH: This is the team. 10 people with different skills. The 'Internal cost' column is what each person costs us per day. The 'Bill rate' is what we'd charge for them.</t>
  </si>
  <si>
    <t>Role</t>
  </si>
  <si>
    <t>Seniority</t>
  </si>
  <si>
    <t>Internal cost / day (USD)</t>
  </si>
  <si>
    <t>Bill rate / day (USD)</t>
  </si>
  <si>
    <t>Notes</t>
  </si>
  <si>
    <t>Engagement / Programme Manager</t>
  </si>
  <si>
    <t>Senior</t>
  </si>
  <si>
    <t>Single point of contact to e&amp;; weekly governance; commercial owner.</t>
  </si>
  <si>
    <t>Solution Architect (Lead)</t>
  </si>
  <si>
    <t>Principal</t>
  </si>
  <si>
    <t>Owns reference architecture, multi-tenant design, latency budget, capability matrix.</t>
  </si>
  <si>
    <t>AI / LLM Engineer — Orchestration &amp; Reasoning</t>
  </si>
  <si>
    <t>Agent graph, FSM, tool-calling, memory, guardrails, Portkey integration.</t>
  </si>
  <si>
    <t>Voice / Conversational Engineer</t>
  </si>
  <si>
    <t>Telephony (Toll Free 800), STT/TTS, WhatsApp/Web channels, Arabic/English NLP.</t>
  </si>
  <si>
    <t>Data &amp; Integration Engineer</t>
  </si>
  <si>
    <t>Connectors (CRM, calendar, payments), e&amp; billing API, vector store, knowledge ingestion.</t>
  </si>
  <si>
    <t>Frontend / UX Engineer</t>
  </si>
  <si>
    <t>Mid</t>
  </si>
  <si>
    <t>Next.js tenant back office, onboarding, admin console, agent configuration UI.</t>
  </si>
  <si>
    <t>DevOps / Platform Engineer</t>
  </si>
  <si>
    <t>Helm/Terraform, CI/CD, multi-tenant K8s, observability stack, secrets, cost guardrails.</t>
  </si>
  <si>
    <t>QA Engineer</t>
  </si>
  <si>
    <t>Test packs, synthetic SMB data, automated regression, voice/chat acceptance tests.</t>
  </si>
  <si>
    <t>Security / Compliance Lead</t>
  </si>
  <si>
    <t>Tenant isolation, NESA / TDRA / ADDA controls, pen-test coordination.</t>
  </si>
  <si>
    <t>Customer Success / Beta Ops Lead</t>
  </si>
  <si>
    <t>Beta SMB recruitment &amp; onboarding, feedback loops, runbooks, support escalation.</t>
  </si>
  <si>
    <t>Total roles in plan: 10</t>
  </si>
  <si>
    <t>Wave 1 — Phase Staffing</t>
  </si>
  <si>
    <t>IN PLAIN ENGLISH: How many people work on each phase and how much of their time goes to this project. 15 weeks total, split into 6 phases. Scroll down to the yellow cells to change the numbers.</t>
  </si>
  <si>
    <t>P1 — Mobilisation &amp; Foundations</t>
  </si>
  <si>
    <t>P2 — Platform Build &amp; Customer Agent SDD</t>
  </si>
  <si>
    <t>P3 — Customer Agent Build</t>
  </si>
  <si>
    <t>P4 — Internal Alpha &amp; Hardening</t>
  </si>
  <si>
    <t>P5 — Closed Beta &amp; Production v1</t>
  </si>
  <si>
    <t>P6 — GA Launch &amp; Hypercare</t>
  </si>
  <si>
    <t>Total p-weeks</t>
  </si>
  <si>
    <t>Phase duration (weeks)</t>
  </si>
  <si>
    <t>Total person-weeks per phase</t>
  </si>
  <si>
    <t>EDITABLE — Headcount and Allocation % per Role per Phase</t>
  </si>
  <si>
    <t>Headcount per phase (number of people).</t>
  </si>
  <si>
    <t>Allocation % per phase (share of time on this programme).</t>
  </si>
  <si>
    <t>Wave 1 — What Does Each Person Cost Per Phase?</t>
  </si>
  <si>
    <t>IN PLAIN ENGLISH: This multiplies 'how long they work' (Sheet 3) × 'their daily rate' (Sheet 2). The total at the bottom is our people cost for Wave 1: ~$472K.</t>
  </si>
  <si>
    <t>INTERNAL COST (fully-loaded AIdeology cost)</t>
  </si>
  <si>
    <t>Cost / day</t>
  </si>
  <si>
    <t>Total cost</t>
  </si>
  <si>
    <t>% of total</t>
  </si>
  <si>
    <t>Total internal cost per phase</t>
  </si>
  <si>
    <t>100%</t>
  </si>
  <si>
    <t>Wave 1 — Non-People Costs (software, cloud, travel, etc.)</t>
  </si>
  <si>
    <t>IN PLAIN ENGLISH: Everything we spend that isn't salaries — cloud servers, AI APIs, WhatsApp, security tools, flights to the UAE, etc. Total: ~$154K.</t>
  </si>
  <si>
    <t>Cost item</t>
  </si>
  <si>
    <t>Unit cost</t>
  </si>
  <si>
    <t>Quantity / months</t>
  </si>
  <si>
    <t>Phase trigger</t>
  </si>
  <si>
    <t>Cloud / K8s dev + staging cluster (e&amp; OCI / Azure CSP)</t>
  </si>
  <si>
    <t>P1–P6</t>
  </si>
  <si>
    <t>Multi-tenant cluster footprint during build &amp; beta. Production sized separately.</t>
  </si>
  <si>
    <t>LLM Gateway licence (Portkey / equivalent)</t>
  </si>
  <si>
    <t>Routing, fallback, observability, cost guardrails across Azure OpenAI / Anthropic / OpenInnovation.</t>
  </si>
  <si>
    <t>LLM API spend — build, alpha, beta</t>
  </si>
  <si>
    <t>P2–P6</t>
  </si>
  <si>
    <t>Includes prompt engineering, regression test runs, beta tenant traffic.</t>
  </si>
  <si>
    <t>STT / TTS API (Deepgram, ElevenLabs / Azure Speech)</t>
  </si>
  <si>
    <t>Voice agent training &amp; beta. Arabic/English, low-latency.</t>
  </si>
  <si>
    <t>WhatsApp BSP (e&amp; or partner) — sandbox + tests</t>
  </si>
  <si>
    <t>Template approval, opt-in flows, message-rate tests on UAE numbers.</t>
  </si>
  <si>
    <t>Observability stack (Grafana Cloud, Loki, Langfuse)</t>
  </si>
  <si>
    <t>Hosted observability for the AIdeology team; production stack runs in e&amp; env.</t>
  </si>
  <si>
    <t>CI/CD &amp; repo hosting (GitHub Enterprise)</t>
  </si>
  <si>
    <t>Pipelines, secrets, environments, security scanning.</t>
  </si>
  <si>
    <t>Security tooling (SAST/DAST/SCA — Snyk / Checkmarx)</t>
  </si>
  <si>
    <t>Continuous static &amp; dependency scanning.</t>
  </si>
  <si>
    <t>Pen-test (third-party, before GA)</t>
  </si>
  <si>
    <t>P5</t>
  </si>
  <si>
    <t>External pen-test prior to GA; required for production launch.</t>
  </si>
  <si>
    <t>Travel — UAE (3 people × 5 days × 4 trips)</t>
  </si>
  <si>
    <t>On-site mobilisation, integration, beta kickoff, GA launch.</t>
  </si>
  <si>
    <t>Marketing / launch event support</t>
  </si>
  <si>
    <t>P6</t>
  </si>
  <si>
    <t>GA launch enablement: collateral, demo videos, launch event support.</t>
  </si>
  <si>
    <t>Misc (printing, demos, contingency petty)</t>
  </si>
  <si>
    <t>All</t>
  </si>
  <si>
    <t>Petty cash for the engagement.</t>
  </si>
  <si>
    <t>Total other costs (subtotal)</t>
  </si>
  <si>
    <t>Waves 2-4 — Cost of the Next 5 Agents</t>
  </si>
  <si>
    <t>IN PLAIN ENGLISH: After Wave 1, we build 5 more agents (Sales, Comms, Finance, Ops, People). The platform already exists, so each one is cheaper. This sheet shows the cost of each.</t>
  </si>
  <si>
    <t>Wave 2A — Sales Agent (CRM, lead, pipeline)</t>
  </si>
  <si>
    <t>Wave 2B — Comms Hub (omnichannel inbox, campaigns)</t>
  </si>
  <si>
    <t>Wave 3A — Finance Agent (invoicing, VAT, e&amp; Pay)</t>
  </si>
  <si>
    <t>Wave 3B — Ops Agent (tasks, SOP KB, service desk)</t>
  </si>
  <si>
    <t>Wave 4 — People Agent (WPS, payroll, HR)</t>
  </si>
  <si>
    <t>Total p-weeks (×days)</t>
  </si>
  <si>
    <t>Engagement coordination; lighter than Wave 1.</t>
  </si>
  <si>
    <t>Solution architect supports SDD spec &amp; integration design per wave.</t>
  </si>
  <si>
    <t>Heaviest role per agent — orchestration, prompts, tools, evals.</t>
  </si>
  <si>
    <t>Comms Hub = heaviest voice; Sales = light voice; Finance/Ops = minimal voice; People = none.</t>
  </si>
  <si>
    <t>Connectors are wave-driver: Finance APIs, HR systems, tax. Most variable.</t>
  </si>
  <si>
    <t>Tenant UI tweaks per agent + admin console.</t>
  </si>
  <si>
    <t>Per-wave deployment, observability hooks, cost guardrails.</t>
  </si>
  <si>
    <t>Test packs, regression, acceptance.</t>
  </si>
  <si>
    <t>Higher for Finance &amp; People (PII, payroll regs).</t>
  </si>
  <si>
    <t>Pilot tenant onboarding &amp; support per wave.</t>
  </si>
  <si>
    <t>Total person-weeks per wave</t>
  </si>
  <si>
    <t>Personnel cost per wave (USD)</t>
  </si>
  <si>
    <t>Item</t>
  </si>
  <si>
    <t>Total</t>
  </si>
  <si>
    <t>Personnel cost</t>
  </si>
  <si>
    <t>Other costs (per wave, ~30% of Wave 1 envelope)</t>
  </si>
  <si>
    <t>Total fully-loaded cost per wave</t>
  </si>
  <si>
    <t>Pricing Summary — What We Charge e&amp;</t>
  </si>
  <si>
    <t>IN PLAIN ENGLISH: Takes our costs, adds a safety buffer (10%) and our profit margin (40%), and gives us the price we should charge e&amp; for each wave.</t>
  </si>
  <si>
    <t>Wave 1 — SMB Launch (Base Platform + Customer Agent)</t>
  </si>
  <si>
    <t>Component</t>
  </si>
  <si>
    <t>Value (USD)</t>
  </si>
  <si>
    <t>Personnel cost — internal (sum of 6 phases)</t>
  </si>
  <si>
    <t>From Sheet 4 (cost basis).</t>
  </si>
  <si>
    <t>Other costs — non-personnel</t>
  </si>
  <si>
    <t>From Sheet 5.</t>
  </si>
  <si>
    <t>Subtotal — direct cost</t>
  </si>
  <si>
    <t>Personnel + non-personnel.</t>
  </si>
  <si>
    <t>% from Sheet 1.</t>
  </si>
  <si>
    <t>Total fully-loaded cost</t>
  </si>
  <si>
    <t>Direct cost + contingency.</t>
  </si>
  <si>
    <t>AIdeology margin on cost (grossed up)</t>
  </si>
  <si>
    <t>Margin grossed up: price = cost / (1 - margin).</t>
  </si>
  <si>
    <t>Price to e&amp; — Wave 1 (Implementation Fee)</t>
  </si>
  <si>
    <t>Fixed-fee proposed for Wave 1.</t>
  </si>
  <si>
    <t>Effective margin %</t>
  </si>
  <si>
    <t>Should approximate target margin from Sheet 1.</t>
  </si>
  <si>
    <t>Waves 2-4 — Per-Wave Pricing (Solution-layer only)</t>
  </si>
  <si>
    <t>Wave</t>
  </si>
  <si>
    <t>Total cost (USD)</t>
  </si>
  <si>
    <t>Margin (USD)</t>
  </si>
  <si>
    <t>Price to e&amp; (USD)</t>
  </si>
  <si>
    <t>Wave 2A — Sales Agent</t>
  </si>
  <si>
    <t>Wave 2B — Comms Hub</t>
  </si>
  <si>
    <t>Wave 3A — Finance Agent</t>
  </si>
  <si>
    <t>Wave 3B — Ops Agent</t>
  </si>
  <si>
    <t>Wave 4 — People Agent</t>
  </si>
  <si>
    <t>Total Waves 2-4 (5 agents)</t>
  </si>
  <si>
    <t>Programme envelope (Wave 1 + Waves 2-4)</t>
  </si>
  <si>
    <t>Wave 1 — Implementation fixed fee</t>
  </si>
  <si>
    <t>From Wave 1 stack above.</t>
  </si>
  <si>
    <t>Waves 2-4 — Solution build fees (5 agents)</t>
  </si>
  <si>
    <t>Sum of Wave 2A/2B/3A/3B/4.</t>
  </si>
  <si>
    <t>All implementation &amp; build fees.</t>
  </si>
  <si>
    <t>Risk reserve (held internally — not in price)</t>
  </si>
  <si>
    <t>Held at AIdeology level for genuine Wave-1 risk events.</t>
  </si>
  <si>
    <t>Reality check — internal cost vs JSX commercial framework</t>
  </si>
  <si>
    <t>Reference / scenario</t>
  </si>
  <si>
    <t>Internal Wave 1 price (this model, 40% margin)</t>
  </si>
  <si>
    <t>What we should charge to hit target margin.</t>
  </si>
  <si>
    <t>JSX proposed implementation fee — low end</t>
  </si>
  <si>
    <t>Per current commercial framework: low end $150K (under our cost).</t>
  </si>
  <si>
    <t>JSX proposed implementation fee — high end</t>
  </si>
  <si>
    <t>Per current commercial framework: high end $250K (still under our cost).</t>
  </si>
  <si>
    <t>Gap vs our cost (low-end JSX)</t>
  </si>
  <si>
    <t>Loss on Wave 1 if we sell at $150K.</t>
  </si>
  <si>
    <t>Gap vs our cost (high-end JSX)</t>
  </si>
  <si>
    <t>Loss on Wave 1 if we sell at $250K.</t>
  </si>
  <si>
    <t>Years of rev-share needed to break even (high-end JSX, mid adoption)</t>
  </si>
  <si>
    <t>Wave 1 cost gap ÷ avg annual rev-share (Y1-Y3 mid). Indicative: rev-share ramps so payback is faster in later years.</t>
  </si>
  <si>
    <t>Recommended commercial structures (3 options)</t>
  </si>
  <si>
    <t>Option</t>
  </si>
  <si>
    <t>Up-front fee</t>
  </si>
  <si>
    <t>A — Cost-plus (full margin up-front)</t>
  </si>
  <si>
    <t>Charge full implementation fee. Rev-share at 10% (low end). Best for AIdeology cash-flow but hardest to sell.</t>
  </si>
  <si>
    <t>B — Hybrid (split)</t>
  </si>
  <si>
    <t>Up-front fee covers core platform cost; aggressive rev-share captures upside. Balanced.</t>
  </si>
  <si>
    <t>C — Land &amp; expand (JSX framework)</t>
  </si>
  <si>
    <t>Aggressive sell-in at $250K + 20% rev-share. Needs subscriber ramp + Wave 2-4 fees to recover Wave 1 cost.</t>
  </si>
  <si>
    <t>Revenue Share — Our Recurring Income</t>
  </si>
  <si>
    <t>IN PLAIN ENGLISH: Every month, SMBs pay e&amp; a subscription. We get 15% of that. As more SMBs sign up, this grows every year. This is the long-term prize on top of the fixed fees.</t>
  </si>
  <si>
    <t>Subscriber ramp (paying SMB tenants — end of year)</t>
  </si>
  <si>
    <t>Metric</t>
  </si>
  <si>
    <t>Paying SMB tenants — end of year (mid)</t>
  </si>
  <si>
    <t>Per JSX: 500-1,000 Y1, 1,500-3,000 Y2, 3,000-5,000+ Y3 (mid points).</t>
  </si>
  <si>
    <t>Avg paying tenants over the year (mid)</t>
  </si>
  <si>
    <t>Linear ramp assumption. Override if e&amp; demand model differs.</t>
  </si>
  <si>
    <t>ARPU per tenant (USD/month)</t>
  </si>
  <si>
    <t>Mild upgrade assumption (cross-sell from Customer to Sales/Comms agents).</t>
  </si>
  <si>
    <t>Gross subscription revenue (USD/year)</t>
  </si>
  <si>
    <t>Avg tenants × ARPU × 12 months. e&amp; top-line.</t>
  </si>
  <si>
    <t>Sourced from Sheet 1 input (override per year if degressive tiers apply).</t>
  </si>
  <si>
    <t>AIdeology rev-share revenue (USD/year)</t>
  </si>
  <si>
    <t>Implementation &amp; wave fees (recognised by year)</t>
  </si>
  <si>
    <t>Wave 1 implementation fee</t>
  </si>
  <si>
    <t>Recognised in Y1 across milestones.</t>
  </si>
  <si>
    <t>Wave 2A — Sales Agent (50/50 Y1/Y2)</t>
  </si>
  <si>
    <t>Wave 2 kicks off ~M9, finishes M16.</t>
  </si>
  <si>
    <t>Wave 2B — Comms Hub (50/50 Y1/Y2)</t>
  </si>
  <si>
    <t>Wave 3A — Finance Agent (Y2)</t>
  </si>
  <si>
    <t>Built in Y2.</t>
  </si>
  <si>
    <t>Wave 3B — Ops Agent (Y2)</t>
  </si>
  <si>
    <t>Wave 4 — People Agent (Y3)</t>
  </si>
  <si>
    <t>Built in Y3.</t>
  </si>
  <si>
    <t>Subtotal — fees recognised</t>
  </si>
  <si>
    <t>AIdeology total revenue (rev-share + fees)</t>
  </si>
  <si>
    <t>Rev-share revenue</t>
  </si>
  <si>
    <t>Implementation &amp; wave fees</t>
  </si>
  <si>
    <t>Total AIdeology revenue</t>
  </si>
  <si>
    <t>Wave 1 — When Does e&amp; Pay Us?</t>
  </si>
  <si>
    <t>IN PLAIN ENGLISH: e&amp; pays us in 4 instalments, each triggered by a milestone (kickoff, alpha, beta, launch). This also shows our cash-flow: when money comes in vs when we spend it.</t>
  </si>
  <si>
    <t>#</t>
  </si>
  <si>
    <t>Milestone / trigger</t>
  </si>
  <si>
    <t>% of price</t>
  </si>
  <si>
    <t>Target week</t>
  </si>
  <si>
    <t>Amount (USD)</t>
  </si>
  <si>
    <t>Acceptance criteria</t>
  </si>
  <si>
    <t>Mobilisation &amp; SOW signature (kickoff)</t>
  </si>
  <si>
    <t>T + 0</t>
  </si>
  <si>
    <t>M1 — Platform foundations stood up; team mobilised within 48h; SOW Schedule A traceability accepted.</t>
  </si>
  <si>
    <t>Customer Agent in dev + Internal Alpha</t>
  </si>
  <si>
    <t>T + 6 wk</t>
  </si>
  <si>
    <t>M2 + M3 — Voice/WhatsApp/web flows working end-to-end; alpha used by AIdeology + e&amp; staff.</t>
  </si>
  <si>
    <t>Closed beta live (10–20 SMBs)</t>
  </si>
  <si>
    <t>T + 9 wk</t>
  </si>
  <si>
    <t>M4 — Beta tenants in production; CSAT and CAC data flowing; escalation paths validated.</t>
  </si>
  <si>
    <t>GA launch + Wave-2 readiness</t>
  </si>
  <si>
    <t>T + 13–15 wk</t>
  </si>
  <si>
    <t>M5 + M6 — Production v1 hardened; security + Arabic/English acceptance tests passed; marketplace open.</t>
  </si>
  <si>
    <t>Sum check</t>
  </si>
  <si>
    <t>Indicative monthly cash-flow — Wave 1 only (months from kickoff)</t>
  </si>
  <si>
    <t>M0 (kickoff)</t>
  </si>
  <si>
    <t>M1</t>
  </si>
  <si>
    <t>M2</t>
  </si>
  <si>
    <t>M3 (beta)</t>
  </si>
  <si>
    <t>M4 (GA)</t>
  </si>
  <si>
    <t>Cash IN (payments from e&amp;)</t>
  </si>
  <si>
    <t>Cash OUT (AIdeology cost burn, est.)</t>
  </si>
  <si>
    <t>Net cash flow</t>
  </si>
  <si>
    <t>Cumulative net cash flow</t>
  </si>
  <si>
    <t>Note: cash-out assumes uniform burn within month; refine if monthly invoicing differs from phase boundaries.</t>
  </si>
  <si>
    <t>What-If Scenarios — How Much Do We Earn?</t>
  </si>
  <si>
    <t>IN PLAIN ENGLISH: What if fewer SMBs sign up? What if our rev-share is 10% instead of 15%? This grid shows our total 3-year revenue under 9 different scenarios (3 adoption levels × 3 rev-share rates).</t>
  </si>
  <si>
    <t>A. Adoption scenarios — average paying tenants per year</t>
  </si>
  <si>
    <t>Scenario</t>
  </si>
  <si>
    <t>Year 1 (avg)</t>
  </si>
  <si>
    <t>Year 2 (avg)</t>
  </si>
  <si>
    <t>Year 3 (avg)</t>
  </si>
  <si>
    <t>Low — slow ramp</t>
  </si>
  <si>
    <t>Conservative: 500 EOY1, 1,500 EOY2, 2,500 EOY3.</t>
  </si>
  <si>
    <t>Mid — baseline (per Sheet 8)</t>
  </si>
  <si>
    <t>Baseline used in Sheet 8.</t>
  </si>
  <si>
    <t>High — strong adoption</t>
  </si>
  <si>
    <t>1,000 EOY1, 3,000 EOY2, 5,500 EOY3.</t>
  </si>
  <si>
    <t>Blended ARPU (USD/month, 3-year avg)</t>
  </si>
  <si>
    <t>Editable. Used for sensitivity calcs below.</t>
  </si>
  <si>
    <t>B. AIdeology 3-year rev-share revenue (USD) — Scenario × Rev-share %</t>
  </si>
  <si>
    <t>Adoption scenario</t>
  </si>
  <si>
    <t>10% rev-share</t>
  </si>
  <si>
    <t>15% rev-share</t>
  </si>
  <si>
    <t>20% rev-share</t>
  </si>
  <si>
    <t>3-year cumulative AIdeology rev-share at fixed % rate.</t>
  </si>
  <si>
    <t>C. Total AIdeology 3-year revenue (fees + rev-share)</t>
  </si>
  <si>
    <t>Total = fixed-fee envelope (Sheet 7) + 3-year rev-share at chosen %.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</si>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</sst>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25" x14ac:knownFonts="1">
    <font>
      <sz val="11"/>
      <color theme="1"/>
      <name val="Calibri"/>
      <family val="2"/>
      <scheme val="minor"/>
    </font>
    <font>
      <b/>
      <sz val="24"/>
      <color rgb="FF1F3A5F"/>
      <name val="Calibri"/>
      <family val="2"/>
    </font>
    <font>
      <sz val="11"/>
      <color rgb="FF444444"/>
      <name val="Calibri"/>
      <family val="2"/>
    </font>
    <font>
      <b/>
      <sz val="14"/>
      <color rgb="FF1F3A5F"/>
      <name val="Calibri"/>
      <family val="2"/>
    </font>
    <font>
      <b/>
      <sz val="13"/>
      <color rgb="FFFFFFFF"/>
      <name val="Calibri"/>
      <family val="2"/>
    </font>
    <font>
      <sz val="11"/>
      <color rgb="FF80808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C62828"/>
      <name val="Calibri"/>
      <family val="2"/>
    </font>
    <font>
      <b/>
      <sz val="11"/>
      <color rgb="FF1B5E20"/>
      <name val="Calibri"/>
      <family val="2"/>
    </font>
    <font>
      <b/>
      <sz val="16"/>
      <color rgb="FF1F3A5F"/>
      <name val="Calibri"/>
      <family val="2"/>
    </font>
    <font>
      <i/>
      <sz val="11"/>
      <color rgb="FF808080"/>
      <name val="Calibri"/>
      <family val="2"/>
    </font>
    <font>
      <i/>
      <sz val="10"/>
      <color rgb="FFC8102E"/>
      <name val="Calibri"/>
      <family val="2"/>
    </font>
    <font>
      <sz val="10"/>
      <color rgb="FF808080"/>
      <name val="Calibri"/>
      <family val="2"/>
    </font>
    <font>
      <b/>
      <sz val="12"/>
      <color rgb="FF2E75B6"/>
      <name val="Calibri"/>
      <family val="2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i/>
      <sz val="11"/>
      <color rgb="FF2E75B6"/>
      <name val="Calibri"/>
      <family val="2"/>
    </font>
    <font>
      <sz val="10"/>
      <color rgb="FF008000"/>
      <name val="Calibri"/>
      <family val="2"/>
    </font>
    <font>
      <b/>
      <sz val="10"/>
      <color rgb="FF1F3A5F"/>
      <name val="Calibri"/>
      <family val="2"/>
    </font>
    <font>
      <b/>
      <sz val="11"/>
      <color rgb="FF1F3A5F"/>
      <name val="Calibri"/>
      <family val="2"/>
    </font>
    <font>
      <b/>
      <sz val="12"/>
      <color rgb="FF1F3A5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F0FE"/>
      </patternFill>
    </fill>
    <fill>
      <patternFill patternType="solid">
        <fgColor rgb="FFE8F5E9"/>
      </patternFill>
    </fill>
    <fill>
      <patternFill patternType="solid">
        <fgColor rgb="FFC62828"/>
      </patternFill>
    </fill>
    <fill>
      <patternFill patternType="solid">
        <fgColor rgb="FFFFF3E0"/>
      </patternFill>
    </fill>
    <fill>
      <patternFill patternType="solid">
        <fgColor rgb="FFFFF2CC"/>
      </patternFill>
    </fill>
    <fill>
      <patternFill patternType="solid">
        <fgColor rgb="FFF5F8FB"/>
      </patternFill>
    </fill>
    <fill>
      <patternFill patternType="solid">
        <fgColor rgb="FFE2F0D9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164" fontId="3" fillId="3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5" fontId="6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3" fontId="6" fillId="0" borderId="1" xfId="0" applyNumberFormat="1" applyFont="1" applyBorder="1"/>
    <xf numFmtId="0" fontId="0" fillId="0" borderId="1" xfId="0" applyBorder="1"/>
    <xf numFmtId="164" fontId="6" fillId="0" borderId="1" xfId="0" applyNumberFormat="1" applyFont="1" applyBorder="1"/>
    <xf numFmtId="0" fontId="7" fillId="4" borderId="1" xfId="0" applyFont="1" applyFill="1" applyBorder="1"/>
    <xf numFmtId="164" fontId="3" fillId="4" borderId="1" xfId="0" applyNumberFormat="1" applyFont="1" applyFill="1" applyBorder="1"/>
    <xf numFmtId="0" fontId="8" fillId="2" borderId="1" xfId="0" applyFont="1" applyFill="1" applyBorder="1"/>
    <xf numFmtId="164" fontId="8" fillId="2" borderId="1" xfId="0" applyNumberFormat="1" applyFont="1" applyFill="1" applyBorder="1"/>
    <xf numFmtId="164" fontId="9" fillId="2" borderId="1" xfId="0" applyNumberFormat="1" applyFont="1" applyFill="1" applyBorder="1"/>
    <xf numFmtId="9" fontId="6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18" fillId="7" borderId="1" xfId="0" applyNumberFormat="1" applyFont="1" applyFill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8" fillId="7" borderId="1" xfId="0" applyFont="1" applyFill="1" applyBorder="1" applyAlignment="1">
      <alignment horizontal="right" vertical="center" wrapText="1"/>
    </xf>
    <xf numFmtId="4" fontId="18" fillId="7" borderId="1" xfId="0" applyNumberFormat="1" applyFont="1" applyFill="1" applyBorder="1" applyAlignment="1">
      <alignment horizontal="right" vertical="center" wrapText="1"/>
    </xf>
    <xf numFmtId="165" fontId="18" fillId="7" borderId="1" xfId="0" applyNumberFormat="1" applyFont="1" applyFill="1" applyBorder="1" applyAlignment="1">
      <alignment horizontal="right" vertical="center" wrapText="1"/>
    </xf>
    <xf numFmtId="0" fontId="20" fillId="0" borderId="0" xfId="0" applyFont="1"/>
    <xf numFmtId="164" fontId="18" fillId="7" borderId="1" xfId="0" applyNumberFormat="1" applyFont="1" applyFill="1" applyBorder="1" applyAlignment="1">
      <alignment horizontal="right" vertical="center" wrapText="1"/>
    </xf>
    <xf numFmtId="0" fontId="7" fillId="0" borderId="0" xfId="0" applyFont="1"/>
    <xf numFmtId="1" fontId="18" fillId="7" borderId="1" xfId="0" applyNumberFormat="1" applyFont="1" applyFill="1" applyBorder="1" applyAlignment="1">
      <alignment horizontal="right" vertical="center" wrapText="1"/>
    </xf>
    <xf numFmtId="2" fontId="21" fillId="8" borderId="1" xfId="0" applyNumberFormat="1" applyFont="1" applyFill="1" applyBorder="1" applyAlignment="1">
      <alignment horizontal="right" vertical="center" wrapText="1"/>
    </xf>
    <xf numFmtId="2" fontId="7" fillId="9" borderId="1" xfId="0" applyNumberFormat="1" applyFont="1" applyFill="1" applyBorder="1" applyAlignment="1">
      <alignment horizontal="right" vertical="center" wrapText="1"/>
    </xf>
    <xf numFmtId="0" fontId="7" fillId="9" borderId="1" xfId="0" applyFont="1" applyFill="1" applyBorder="1"/>
    <xf numFmtId="2" fontId="22" fillId="9" borderId="1" xfId="0" applyNumberFormat="1" applyFont="1" applyFill="1" applyBorder="1" applyAlignment="1">
      <alignment horizontal="right" vertical="center" wrapText="1"/>
    </xf>
    <xf numFmtId="9" fontId="18" fillId="7" borderId="1" xfId="0" applyNumberFormat="1" applyFont="1" applyFill="1" applyBorder="1" applyAlignment="1">
      <alignment horizontal="right" vertical="center" wrapText="1"/>
    </xf>
    <xf numFmtId="164" fontId="21" fillId="8" borderId="1" xfId="0" applyNumberFormat="1" applyFont="1" applyFill="1" applyBorder="1" applyAlignment="1">
      <alignment horizontal="right" vertical="center" wrapText="1"/>
    </xf>
    <xf numFmtId="164" fontId="7" fillId="9" borderId="1" xfId="0" applyNumberFormat="1" applyFont="1" applyFill="1" applyBorder="1" applyAlignment="1">
      <alignment horizontal="right" vertical="center" wrapText="1"/>
    </xf>
    <xf numFmtId="165" fontId="21" fillId="8" borderId="1" xfId="0" applyNumberFormat="1" applyFont="1" applyFill="1" applyBorder="1" applyAlignment="1">
      <alignment horizontal="right" vertical="center" wrapText="1"/>
    </xf>
    <xf numFmtId="0" fontId="0" fillId="9" borderId="1" xfId="0" applyFill="1" applyBorder="1"/>
    <xf numFmtId="164" fontId="23" fillId="9" borderId="1" xfId="0" applyNumberFormat="1" applyFont="1" applyFill="1" applyBorder="1" applyAlignment="1">
      <alignment horizontal="right" vertical="center" wrapText="1"/>
    </xf>
    <xf numFmtId="9" fontId="7" fillId="9" borderId="1" xfId="0" applyNumberFormat="1" applyFont="1" applyFill="1" applyBorder="1" applyAlignment="1">
      <alignment horizontal="right" vertical="center" wrapText="1"/>
    </xf>
    <xf numFmtId="1" fontId="7" fillId="9" borderId="1" xfId="0" applyNumberFormat="1" applyFont="1" applyFill="1" applyBorder="1" applyAlignment="1">
      <alignment horizontal="right" vertical="center" wrapText="1"/>
    </xf>
    <xf numFmtId="164" fontId="24" fillId="9" borderId="1" xfId="0" applyNumberFormat="1" applyFont="1" applyFill="1" applyBorder="1" applyAlignment="1">
      <alignment horizontal="right" vertical="center" wrapText="1"/>
    </xf>
    <xf numFmtId="166" fontId="21" fillId="8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right" vertical="center" wrapText="1"/>
    </xf>
    <xf numFmtId="165" fontId="7" fillId="9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10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1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7" fillId="10" borderId="1" xfId="0" applyFont="1" applyFill="1" applyBorder="1" applyAlignment="1">
      <alignment horizontal="left" vertical="center" wrapText="1"/>
    </xf>
    <xf numFmtId="164" fontId="21" fillId="10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3"/>
  <sheetViews>
    <sheetView tabSelected="1" topLeftCell="A22" zoomScale="112" workbookViewId="0">
      <selection activeCell="B7" sqref="B7:G7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7" width="22" customWidth="1"/>
  </cols>
  <sheetData>
    <row r="2" spans="2:7" ht="26" customHeight="1" x14ac:dyDescent="0.2">
      <c r="B2" s="54" t="s">
        <v>0</v>
      </c>
      <c r="C2" s="53"/>
      <c r="D2" s="53"/>
      <c r="E2" s="53"/>
      <c r="F2" s="53"/>
      <c r="G2" s="53"/>
    </row>
    <row r="3" spans="2:7" x14ac:dyDescent="0.2">
      <c r="B3" s="52" t="s">
        <v>1</v>
      </c>
      <c r="C3" s="53"/>
      <c r="D3" s="53"/>
      <c r="E3" s="53"/>
      <c r="F3" s="53"/>
      <c r="G3" s="53"/>
    </row>
    <row r="5" spans="2:7" x14ac:dyDescent="0.2">
      <c r="B5" s="55" t="s">
        <v>2</v>
      </c>
      <c r="C5" s="56"/>
      <c r="D5" s="56"/>
      <c r="E5" s="56"/>
      <c r="F5" s="56"/>
      <c r="G5" s="56"/>
    </row>
    <row r="6" spans="2:7" x14ac:dyDescent="0.2">
      <c r="B6" s="52" t="s">
        <v>3</v>
      </c>
      <c r="C6" s="53"/>
      <c r="D6" s="53"/>
      <c r="E6" s="53"/>
      <c r="F6" s="53"/>
      <c r="G6" s="53"/>
    </row>
    <row r="7" spans="2:7" x14ac:dyDescent="0.2">
      <c r="B7" s="52" t="s">
        <v>371</v>
      </c>
      <c r="C7" s="53"/>
      <c r="D7" s="53"/>
      <c r="E7" s="53"/>
      <c r="F7" s="53"/>
      <c r="G7" s="53"/>
    </row>
    <row r="8" spans="2:7" x14ac:dyDescent="0.2">
      <c r="B8" s="52" t="s">
        <v>4</v>
      </c>
      <c r="C8" s="53"/>
      <c r="D8" s="53"/>
      <c r="E8" s="53"/>
      <c r="F8" s="53"/>
      <c r="G8" s="53"/>
    </row>
    <row r="10" spans="2:7" x14ac:dyDescent="0.2">
      <c r="B10" s="55" t="s">
        <v>5</v>
      </c>
      <c r="C10" s="56"/>
      <c r="D10" s="56"/>
      <c r="E10" s="56"/>
      <c r="F10" s="56"/>
      <c r="G10" s="56"/>
    </row>
    <row r="11" spans="2:7" ht="32" x14ac:dyDescent="0.2">
      <c r="B11" s="1" t="s">
        <v>6</v>
      </c>
      <c r="C11" s="2"/>
      <c r="D11" s="1" t="s">
        <v>7</v>
      </c>
      <c r="E11" s="2"/>
      <c r="F11" s="1" t="s">
        <v>8</v>
      </c>
      <c r="G11" s="2"/>
    </row>
    <row r="12" spans="2:7" ht="20" x14ac:dyDescent="0.2">
      <c r="B12" s="3">
        <f>'7. Pricing Summary'!C11</f>
        <v>688572.5</v>
      </c>
      <c r="C12" s="2"/>
      <c r="D12" s="3">
        <f>'6. Wave 2-4 Build Costs'!I22</f>
        <v>1262800</v>
      </c>
      <c r="E12" s="2"/>
      <c r="F12" s="3">
        <f>'7. Pricing Summary'!C11+'6. Wave 2-4 Build Costs'!I22</f>
        <v>1951372.5</v>
      </c>
      <c r="G12" s="2"/>
    </row>
    <row r="14" spans="2:7" x14ac:dyDescent="0.2">
      <c r="B14" s="55" t="s">
        <v>9</v>
      </c>
      <c r="C14" s="56"/>
      <c r="D14" s="56"/>
      <c r="E14" s="56"/>
      <c r="F14" s="56"/>
      <c r="G14" s="56"/>
    </row>
    <row r="15" spans="2:7" ht="32" x14ac:dyDescent="0.2">
      <c r="B15" s="1" t="s">
        <v>10</v>
      </c>
      <c r="C15" s="2"/>
      <c r="D15" s="1" t="s">
        <v>11</v>
      </c>
      <c r="E15" s="2"/>
      <c r="F15" s="1" t="s">
        <v>12</v>
      </c>
      <c r="G15" s="2"/>
    </row>
    <row r="16" spans="2:7" ht="20" x14ac:dyDescent="0.2">
      <c r="B16" s="3">
        <f>'7. Pricing Summary'!C13</f>
        <v>1147620.8333333335</v>
      </c>
      <c r="C16" s="2"/>
      <c r="D16" s="3">
        <f>'7. Pricing Summary'!E23</f>
        <v>2295999.9999999995</v>
      </c>
      <c r="E16" s="2"/>
      <c r="F16" s="3">
        <f>'7. Pricing Summary'!C29</f>
        <v>3443620.833333333</v>
      </c>
      <c r="G16" s="2"/>
    </row>
    <row r="17" spans="2:7" ht="16" x14ac:dyDescent="0.2">
      <c r="B17" s="4" t="s">
        <v>13</v>
      </c>
      <c r="C17" s="5">
        <f>'7. Pricing Summary'!C14</f>
        <v>0.40000000000000008</v>
      </c>
      <c r="D17" s="4" t="s">
        <v>14</v>
      </c>
      <c r="E17" s="5">
        <f>'1. Cover &amp; Assumptions'!C32</f>
        <v>0.45</v>
      </c>
    </row>
    <row r="19" spans="2:7" x14ac:dyDescent="0.2">
      <c r="B19" s="55" t="s">
        <v>15</v>
      </c>
      <c r="C19" s="56"/>
      <c r="D19" s="56"/>
      <c r="E19" s="56"/>
      <c r="F19" s="56"/>
      <c r="G19" s="56"/>
    </row>
    <row r="20" spans="2:7" x14ac:dyDescent="0.2">
      <c r="B20" s="6"/>
      <c r="C20" s="6" t="s">
        <v>16</v>
      </c>
      <c r="D20" s="6" t="s">
        <v>17</v>
      </c>
      <c r="E20" s="6" t="s">
        <v>18</v>
      </c>
      <c r="F20" s="6" t="s">
        <v>19</v>
      </c>
    </row>
    <row r="21" spans="2:7" x14ac:dyDescent="0.2">
      <c r="B21" s="7" t="s">
        <v>20</v>
      </c>
      <c r="C21" s="8">
        <f>'8. Revenue Share Model'!C8</f>
        <v>375</v>
      </c>
      <c r="D21" s="8">
        <f>'8. Revenue Share Model'!D8</f>
        <v>1500</v>
      </c>
      <c r="E21" s="8">
        <f>'8. Revenue Share Model'!E8</f>
        <v>3125</v>
      </c>
      <c r="F21" s="9"/>
    </row>
    <row r="22" spans="2:7" x14ac:dyDescent="0.2">
      <c r="B22" s="7" t="s">
        <v>21</v>
      </c>
      <c r="C22" s="10">
        <f>'8. Revenue Share Model'!C10</f>
        <v>270000</v>
      </c>
      <c r="D22" s="10">
        <f>'8. Revenue Share Model'!D10</f>
        <v>1170000</v>
      </c>
      <c r="E22" s="10">
        <f>'8. Revenue Share Model'!E10</f>
        <v>2625000</v>
      </c>
      <c r="F22" s="10">
        <f>SUM(C22:E22)</f>
        <v>4065000</v>
      </c>
    </row>
    <row r="23" spans="2:7" ht="19" x14ac:dyDescent="0.25">
      <c r="B23" s="11" t="s">
        <v>22</v>
      </c>
      <c r="C23" s="12">
        <f>'8. Revenue Share Model'!C12</f>
        <v>40500</v>
      </c>
      <c r="D23" s="12">
        <f>'8. Revenue Share Model'!D12</f>
        <v>175500</v>
      </c>
      <c r="E23" s="12">
        <f>'8. Revenue Share Model'!E12</f>
        <v>393750</v>
      </c>
      <c r="F23" s="12">
        <f>SUM(C23:E23)</f>
        <v>609750</v>
      </c>
    </row>
    <row r="26" spans="2:7" x14ac:dyDescent="0.2">
      <c r="B26" s="55" t="s">
        <v>23</v>
      </c>
      <c r="C26" s="56"/>
      <c r="D26" s="56"/>
      <c r="E26" s="56"/>
      <c r="F26" s="56"/>
      <c r="G26" s="56"/>
    </row>
    <row r="27" spans="2:7" x14ac:dyDescent="0.2">
      <c r="B27" s="6"/>
      <c r="C27" s="6" t="s">
        <v>16</v>
      </c>
      <c r="D27" s="6" t="s">
        <v>17</v>
      </c>
      <c r="E27" s="6" t="s">
        <v>18</v>
      </c>
      <c r="F27" s="6" t="s">
        <v>19</v>
      </c>
    </row>
    <row r="28" spans="2:7" x14ac:dyDescent="0.2">
      <c r="B28" s="7" t="s">
        <v>24</v>
      </c>
      <c r="C28" s="10">
        <f>'8. Revenue Share Model'!C22</f>
        <v>1629911.7424242427</v>
      </c>
      <c r="D28" s="10">
        <f>'8. Revenue Share Model'!D22</f>
        <v>1394600</v>
      </c>
      <c r="E28" s="10">
        <f>'8. Revenue Share Model'!E22</f>
        <v>419109.09090909088</v>
      </c>
      <c r="F28" s="10">
        <f>SUM(C28:E28)</f>
        <v>3443620.8333333335</v>
      </c>
    </row>
    <row r="29" spans="2:7" x14ac:dyDescent="0.2">
      <c r="B29" s="7" t="s">
        <v>25</v>
      </c>
      <c r="C29" s="10">
        <f>'8. Revenue Share Model'!C12</f>
        <v>40500</v>
      </c>
      <c r="D29" s="10">
        <f>'8. Revenue Share Model'!D12</f>
        <v>175500</v>
      </c>
      <c r="E29" s="10">
        <f>'8. Revenue Share Model'!E12</f>
        <v>393750</v>
      </c>
      <c r="F29" s="10">
        <f>SUM(C29:E29)</f>
        <v>609750</v>
      </c>
    </row>
    <row r="30" spans="2:7" ht="19" x14ac:dyDescent="0.25">
      <c r="B30" s="13" t="s">
        <v>26</v>
      </c>
      <c r="C30" s="14">
        <f>SUM(C28:C29)</f>
        <v>1670411.7424242427</v>
      </c>
      <c r="D30" s="14">
        <f>SUM(D28:D29)</f>
        <v>1570100</v>
      </c>
      <c r="E30" s="14">
        <f>SUM(E28:E29)</f>
        <v>812859.09090909082</v>
      </c>
      <c r="F30" s="15">
        <f>SUM(F28:F29)</f>
        <v>4053370.8333333335</v>
      </c>
    </row>
    <row r="33" spans="2:7" x14ac:dyDescent="0.2">
      <c r="B33" s="55" t="s">
        <v>27</v>
      </c>
      <c r="C33" s="56"/>
      <c r="D33" s="56"/>
      <c r="E33" s="56"/>
      <c r="F33" s="56"/>
      <c r="G33" s="56"/>
    </row>
    <row r="34" spans="2:7" x14ac:dyDescent="0.2">
      <c r="B34" s="6"/>
      <c r="C34" s="6" t="s">
        <v>28</v>
      </c>
      <c r="D34" s="6" t="s">
        <v>29</v>
      </c>
      <c r="E34" s="6" t="s">
        <v>30</v>
      </c>
    </row>
    <row r="35" spans="2:7" x14ac:dyDescent="0.2">
      <c r="B35" s="7" t="s">
        <v>31</v>
      </c>
      <c r="C35" s="10">
        <f>'7. Pricing Summary'!C13</f>
        <v>1147620.8333333335</v>
      </c>
      <c r="D35" s="10">
        <v>500000</v>
      </c>
      <c r="E35" s="10">
        <v>250000</v>
      </c>
    </row>
    <row r="36" spans="2:7" x14ac:dyDescent="0.2">
      <c r="B36" s="7" t="s">
        <v>32</v>
      </c>
      <c r="C36" s="16">
        <v>0.1</v>
      </c>
      <c r="D36" s="16">
        <v>0.18</v>
      </c>
      <c r="E36" s="16">
        <v>0.2</v>
      </c>
    </row>
    <row r="37" spans="2:7" ht="16" x14ac:dyDescent="0.2">
      <c r="B37" s="7" t="s">
        <v>33</v>
      </c>
      <c r="C37" s="17" t="s">
        <v>34</v>
      </c>
      <c r="D37" s="17" t="s">
        <v>35</v>
      </c>
      <c r="E37" s="17" t="s">
        <v>36</v>
      </c>
    </row>
    <row r="38" spans="2:7" ht="16" x14ac:dyDescent="0.2">
      <c r="B38" s="7" t="s">
        <v>37</v>
      </c>
      <c r="C38" s="17" t="s">
        <v>38</v>
      </c>
      <c r="D38" s="17" t="s">
        <v>39</v>
      </c>
      <c r="E38" s="17" t="s">
        <v>40</v>
      </c>
    </row>
    <row r="40" spans="2:7" x14ac:dyDescent="0.2">
      <c r="B40" s="60" t="s">
        <v>41</v>
      </c>
      <c r="C40" s="61"/>
      <c r="D40" s="61"/>
      <c r="E40" s="61"/>
      <c r="F40" s="61"/>
      <c r="G40" s="61"/>
    </row>
    <row r="41" spans="2:7" x14ac:dyDescent="0.2">
      <c r="B41" s="59" t="s">
        <v>42</v>
      </c>
      <c r="C41" s="58"/>
      <c r="D41" s="58"/>
      <c r="E41" s="58"/>
      <c r="F41" s="58"/>
      <c r="G41" s="58"/>
    </row>
    <row r="42" spans="2:7" x14ac:dyDescent="0.2">
      <c r="B42" s="57" t="s">
        <v>43</v>
      </c>
      <c r="C42" s="58"/>
      <c r="D42" s="58"/>
      <c r="E42" s="58"/>
      <c r="F42" s="58"/>
      <c r="G42" s="58"/>
    </row>
    <row r="43" spans="2:7" x14ac:dyDescent="0.2">
      <c r="B43" s="62" t="s">
        <v>44</v>
      </c>
      <c r="C43" s="63"/>
      <c r="D43" s="63"/>
      <c r="E43" s="63"/>
      <c r="F43" s="63"/>
      <c r="G43" s="63"/>
    </row>
  </sheetData>
  <mergeCells count="15">
    <mergeCell ref="B43:G43"/>
    <mergeCell ref="B7:G7"/>
    <mergeCell ref="B6:G6"/>
    <mergeCell ref="B3:G3"/>
    <mergeCell ref="B2:G2"/>
    <mergeCell ref="B19:G19"/>
    <mergeCell ref="B10:G10"/>
    <mergeCell ref="B42:G42"/>
    <mergeCell ref="B33:G33"/>
    <mergeCell ref="B5:G5"/>
    <mergeCell ref="B14:G14"/>
    <mergeCell ref="B41:G41"/>
    <mergeCell ref="B8:G8"/>
    <mergeCell ref="B26:G26"/>
    <mergeCell ref="B40:G40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6"/>
  <sheetViews>
    <sheetView workbookViewId="0"/>
  </sheetViews>
  <sheetFormatPr baseColWidth="10" defaultColWidth="8.83203125" defaultRowHeight="15" x14ac:dyDescent="0.2"/>
  <cols>
    <col min="1" max="1" width="3" customWidth="1"/>
    <col min="2" max="2" width="42" customWidth="1"/>
    <col min="3" max="3" width="16" customWidth="1"/>
    <col min="4" max="4" width="10" customWidth="1"/>
    <col min="5" max="5" width="60" customWidth="1"/>
  </cols>
  <sheetData>
    <row r="2" spans="2:2" ht="21" x14ac:dyDescent="0.25">
      <c r="B2" s="18" t="s">
        <v>45</v>
      </c>
    </row>
    <row r="3" spans="2:2" x14ac:dyDescent="0.2">
      <c r="B3" s="19" t="s">
        <v>46</v>
      </c>
    </row>
    <row r="4" spans="2:2" x14ac:dyDescent="0.2">
      <c r="B4" s="20" t="s">
        <v>47</v>
      </c>
    </row>
    <row r="5" spans="2:2" x14ac:dyDescent="0.2">
      <c r="B5" s="21" t="s">
        <v>48</v>
      </c>
    </row>
    <row r="7" spans="2:2" ht="16" x14ac:dyDescent="0.2">
      <c r="B7" s="22" t="s">
        <v>49</v>
      </c>
    </row>
    <row r="8" spans="2:2" x14ac:dyDescent="0.2">
      <c r="B8" s="21" t="s">
        <v>50</v>
      </c>
    </row>
    <row r="9" spans="2:2" x14ac:dyDescent="0.2">
      <c r="B9" s="21" t="s">
        <v>51</v>
      </c>
    </row>
    <row r="10" spans="2:2" x14ac:dyDescent="0.2">
      <c r="B10" s="21" t="s">
        <v>52</v>
      </c>
    </row>
    <row r="11" spans="2:2" x14ac:dyDescent="0.2">
      <c r="B11" s="21" t="s">
        <v>53</v>
      </c>
    </row>
    <row r="12" spans="2:2" x14ac:dyDescent="0.2">
      <c r="B12" s="21" t="s">
        <v>54</v>
      </c>
    </row>
    <row r="13" spans="2:2" x14ac:dyDescent="0.2">
      <c r="B13" s="21" t="s">
        <v>55</v>
      </c>
    </row>
    <row r="14" spans="2:2" x14ac:dyDescent="0.2">
      <c r="B14" s="21" t="s">
        <v>56</v>
      </c>
    </row>
    <row r="15" spans="2:2" x14ac:dyDescent="0.2">
      <c r="B15" s="21" t="s">
        <v>57</v>
      </c>
    </row>
    <row r="16" spans="2:2" x14ac:dyDescent="0.2">
      <c r="B16" s="21" t="s">
        <v>58</v>
      </c>
    </row>
    <row r="17" spans="2:5" x14ac:dyDescent="0.2">
      <c r="B17" s="21" t="s">
        <v>59</v>
      </c>
    </row>
    <row r="18" spans="2:5" x14ac:dyDescent="0.2">
      <c r="B18" s="21" t="s">
        <v>60</v>
      </c>
    </row>
    <row r="22" spans="2:5" ht="16" x14ac:dyDescent="0.2">
      <c r="B22" s="22" t="s">
        <v>61</v>
      </c>
    </row>
    <row r="23" spans="2:5" x14ac:dyDescent="0.2">
      <c r="B23" s="23" t="s">
        <v>62</v>
      </c>
      <c r="C23" s="23" t="s">
        <v>63</v>
      </c>
      <c r="D23" s="23" t="s">
        <v>64</v>
      </c>
      <c r="E23" s="23" t="s">
        <v>65</v>
      </c>
    </row>
    <row r="24" spans="2:5" x14ac:dyDescent="0.2">
      <c r="B24" s="24" t="s">
        <v>66</v>
      </c>
      <c r="C24" s="25">
        <v>15</v>
      </c>
      <c r="D24" s="26" t="s">
        <v>67</v>
      </c>
      <c r="E24" s="27" t="s">
        <v>68</v>
      </c>
    </row>
    <row r="25" spans="2:5" x14ac:dyDescent="0.2">
      <c r="B25" s="24" t="s">
        <v>69</v>
      </c>
      <c r="C25" s="25">
        <v>5</v>
      </c>
      <c r="D25" s="26" t="s">
        <v>70</v>
      </c>
      <c r="E25" s="27" t="s">
        <v>71</v>
      </c>
    </row>
    <row r="26" spans="2:5" x14ac:dyDescent="0.2">
      <c r="B26" s="24" t="s">
        <v>72</v>
      </c>
      <c r="C26" s="25">
        <v>8</v>
      </c>
      <c r="D26" s="26" t="s">
        <v>73</v>
      </c>
      <c r="E26" s="27" t="s">
        <v>71</v>
      </c>
    </row>
    <row r="27" spans="2:5" x14ac:dyDescent="0.2">
      <c r="B27" s="24" t="s">
        <v>74</v>
      </c>
      <c r="C27" s="28" t="s">
        <v>75</v>
      </c>
      <c r="D27" s="26" t="s">
        <v>76</v>
      </c>
      <c r="E27" s="27" t="s">
        <v>77</v>
      </c>
    </row>
    <row r="28" spans="2:5" x14ac:dyDescent="0.2">
      <c r="B28" s="24" t="s">
        <v>78</v>
      </c>
      <c r="C28" s="29">
        <v>3.67</v>
      </c>
      <c r="D28" s="26" t="s">
        <v>79</v>
      </c>
      <c r="E28" s="27" t="s">
        <v>80</v>
      </c>
    </row>
    <row r="29" spans="2:5" x14ac:dyDescent="0.2">
      <c r="B29" s="24" t="s">
        <v>81</v>
      </c>
      <c r="C29" s="30">
        <v>0.4</v>
      </c>
      <c r="D29" s="26" t="s">
        <v>82</v>
      </c>
      <c r="E29" s="27" t="s">
        <v>83</v>
      </c>
    </row>
    <row r="30" spans="2:5" x14ac:dyDescent="0.2">
      <c r="B30" s="24" t="s">
        <v>84</v>
      </c>
      <c r="C30" s="30">
        <v>0.1</v>
      </c>
      <c r="D30" s="26" t="s">
        <v>82</v>
      </c>
      <c r="E30" s="27" t="s">
        <v>85</v>
      </c>
    </row>
    <row r="31" spans="2:5" x14ac:dyDescent="0.2">
      <c r="B31" s="24" t="s">
        <v>86</v>
      </c>
      <c r="C31" s="30">
        <v>0.05</v>
      </c>
      <c r="D31" s="26" t="s">
        <v>82</v>
      </c>
      <c r="E31" s="27" t="s">
        <v>87</v>
      </c>
    </row>
    <row r="32" spans="2:5" x14ac:dyDescent="0.2">
      <c r="B32" s="24" t="s">
        <v>88</v>
      </c>
      <c r="C32" s="30">
        <v>0.45</v>
      </c>
      <c r="D32" s="26" t="s">
        <v>82</v>
      </c>
      <c r="E32" s="27" t="s">
        <v>89</v>
      </c>
    </row>
    <row r="33" spans="2:5" x14ac:dyDescent="0.2">
      <c r="B33" s="24" t="s">
        <v>90</v>
      </c>
      <c r="C33" s="25">
        <v>1</v>
      </c>
      <c r="D33" s="26" t="s">
        <v>91</v>
      </c>
      <c r="E33" s="27" t="s">
        <v>92</v>
      </c>
    </row>
    <row r="34" spans="2:5" x14ac:dyDescent="0.2">
      <c r="B34" s="24" t="s">
        <v>93</v>
      </c>
      <c r="C34" s="25">
        <v>60</v>
      </c>
      <c r="D34" s="26" t="s">
        <v>94</v>
      </c>
      <c r="E34" s="27" t="s">
        <v>95</v>
      </c>
    </row>
    <row r="35" spans="2:5" x14ac:dyDescent="0.2">
      <c r="B35" s="24" t="s">
        <v>96</v>
      </c>
      <c r="C35" s="30">
        <v>0.15</v>
      </c>
      <c r="D35" s="26" t="s">
        <v>82</v>
      </c>
      <c r="E35" s="27" t="s">
        <v>97</v>
      </c>
    </row>
    <row r="36" spans="2:5" x14ac:dyDescent="0.2">
      <c r="B36" s="24" t="s">
        <v>98</v>
      </c>
      <c r="C36" s="30">
        <v>0.2</v>
      </c>
      <c r="D36" s="26" t="s">
        <v>82</v>
      </c>
      <c r="E36" s="27" t="s">
        <v>99</v>
      </c>
    </row>
    <row r="37" spans="2:5" x14ac:dyDescent="0.2">
      <c r="B37" s="24" t="s">
        <v>100</v>
      </c>
      <c r="C37" s="25">
        <v>3</v>
      </c>
      <c r="D37" s="26" t="s">
        <v>101</v>
      </c>
      <c r="E37" s="27" t="s">
        <v>102</v>
      </c>
    </row>
    <row r="40" spans="2:5" ht="16" x14ac:dyDescent="0.2">
      <c r="B40" s="22" t="s">
        <v>103</v>
      </c>
    </row>
    <row r="41" spans="2:5" x14ac:dyDescent="0.2">
      <c r="B41" s="21" t="s">
        <v>104</v>
      </c>
    </row>
    <row r="42" spans="2:5" x14ac:dyDescent="0.2">
      <c r="B42" s="21" t="s">
        <v>105</v>
      </c>
    </row>
    <row r="43" spans="2:5" x14ac:dyDescent="0.2">
      <c r="B43" s="21" t="s">
        <v>106</v>
      </c>
    </row>
    <row r="44" spans="2:5" x14ac:dyDescent="0.2">
      <c r="B44" s="21" t="s">
        <v>107</v>
      </c>
    </row>
    <row r="45" spans="2:5" x14ac:dyDescent="0.2">
      <c r="B45" s="21" t="s">
        <v>108</v>
      </c>
    </row>
    <row r="46" spans="2:5" x14ac:dyDescent="0.2">
      <c r="B46" s="21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7"/>
  <sheetViews>
    <sheetView zoomScale="150" workbookViewId="0"/>
  </sheetViews>
  <sheetFormatPr baseColWidth="10" defaultColWidth="8.83203125" defaultRowHeight="15" x14ac:dyDescent="0.2"/>
  <cols>
    <col min="1" max="1" width="3" customWidth="1"/>
    <col min="2" max="2" width="44" customWidth="1"/>
    <col min="3" max="3" width="14" customWidth="1"/>
    <col min="4" max="5" width="18" customWidth="1"/>
    <col min="6" max="6" width="70" customWidth="1"/>
  </cols>
  <sheetData>
    <row r="2" spans="2:6" ht="21" x14ac:dyDescent="0.25">
      <c r="B2" s="18" t="s">
        <v>110</v>
      </c>
    </row>
    <row r="3" spans="2:6" x14ac:dyDescent="0.2">
      <c r="B3" s="31" t="s">
        <v>111</v>
      </c>
    </row>
    <row r="5" spans="2:6" x14ac:dyDescent="0.2">
      <c r="B5" s="23" t="s">
        <v>112</v>
      </c>
      <c r="C5" s="23" t="s">
        <v>113</v>
      </c>
      <c r="D5" s="23" t="s">
        <v>114</v>
      </c>
      <c r="E5" s="23" t="s">
        <v>115</v>
      </c>
      <c r="F5" s="23" t="s">
        <v>116</v>
      </c>
    </row>
    <row r="6" spans="2:6" x14ac:dyDescent="0.2">
      <c r="B6" s="24" t="s">
        <v>117</v>
      </c>
      <c r="C6" s="26" t="s">
        <v>118</v>
      </c>
      <c r="D6" s="32">
        <v>1000</v>
      </c>
      <c r="E6" s="32">
        <v>1750</v>
      </c>
      <c r="F6" s="27" t="s">
        <v>119</v>
      </c>
    </row>
    <row r="7" spans="2:6" x14ac:dyDescent="0.2">
      <c r="B7" s="24" t="s">
        <v>120</v>
      </c>
      <c r="C7" s="26" t="s">
        <v>121</v>
      </c>
      <c r="D7" s="32">
        <v>1100</v>
      </c>
      <c r="E7" s="32">
        <v>2100</v>
      </c>
      <c r="F7" s="27" t="s">
        <v>122</v>
      </c>
    </row>
    <row r="8" spans="2:6" x14ac:dyDescent="0.2">
      <c r="B8" s="24" t="s">
        <v>123</v>
      </c>
      <c r="C8" s="26" t="s">
        <v>118</v>
      </c>
      <c r="D8" s="32">
        <v>900</v>
      </c>
      <c r="E8" s="32">
        <v>1700</v>
      </c>
      <c r="F8" s="27" t="s">
        <v>124</v>
      </c>
    </row>
    <row r="9" spans="2:6" x14ac:dyDescent="0.2">
      <c r="B9" s="24" t="s">
        <v>125</v>
      </c>
      <c r="C9" s="26" t="s">
        <v>118</v>
      </c>
      <c r="D9" s="32">
        <v>850</v>
      </c>
      <c r="E9" s="32">
        <v>1650</v>
      </c>
      <c r="F9" s="27" t="s">
        <v>126</v>
      </c>
    </row>
    <row r="10" spans="2:6" x14ac:dyDescent="0.2">
      <c r="B10" s="24" t="s">
        <v>127</v>
      </c>
      <c r="C10" s="26" t="s">
        <v>118</v>
      </c>
      <c r="D10" s="32">
        <v>900</v>
      </c>
      <c r="E10" s="32">
        <v>1550</v>
      </c>
      <c r="F10" s="27" t="s">
        <v>128</v>
      </c>
    </row>
    <row r="11" spans="2:6" x14ac:dyDescent="0.2">
      <c r="B11" s="24" t="s">
        <v>129</v>
      </c>
      <c r="C11" s="26" t="s">
        <v>130</v>
      </c>
      <c r="D11" s="32">
        <v>750</v>
      </c>
      <c r="E11" s="32">
        <v>1300</v>
      </c>
      <c r="F11" s="27" t="s">
        <v>131</v>
      </c>
    </row>
    <row r="12" spans="2:6" x14ac:dyDescent="0.2">
      <c r="B12" s="24" t="s">
        <v>132</v>
      </c>
      <c r="C12" s="26" t="s">
        <v>118</v>
      </c>
      <c r="D12" s="32">
        <v>950</v>
      </c>
      <c r="E12" s="32">
        <v>1550</v>
      </c>
      <c r="F12" s="27" t="s">
        <v>133</v>
      </c>
    </row>
    <row r="13" spans="2:6" x14ac:dyDescent="0.2">
      <c r="B13" s="24" t="s">
        <v>134</v>
      </c>
      <c r="C13" s="26" t="s">
        <v>130</v>
      </c>
      <c r="D13" s="32">
        <v>700</v>
      </c>
      <c r="E13" s="32">
        <v>1200</v>
      </c>
      <c r="F13" s="27" t="s">
        <v>135</v>
      </c>
    </row>
    <row r="14" spans="2:6" x14ac:dyDescent="0.2">
      <c r="B14" s="24" t="s">
        <v>136</v>
      </c>
      <c r="C14" s="26" t="s">
        <v>118</v>
      </c>
      <c r="D14" s="32">
        <v>1050</v>
      </c>
      <c r="E14" s="32">
        <v>1750</v>
      </c>
      <c r="F14" s="27" t="s">
        <v>137</v>
      </c>
    </row>
    <row r="15" spans="2:6" x14ac:dyDescent="0.2">
      <c r="B15" s="24" t="s">
        <v>138</v>
      </c>
      <c r="C15" s="26" t="s">
        <v>130</v>
      </c>
      <c r="D15" s="32">
        <v>600</v>
      </c>
      <c r="E15" s="32">
        <v>950</v>
      </c>
      <c r="F15" s="27" t="s">
        <v>139</v>
      </c>
    </row>
    <row r="17" spans="2:2" x14ac:dyDescent="0.2">
      <c r="B17" s="33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5"/>
  <sheetViews>
    <sheetView topLeftCell="A23" zoomScale="150" workbookViewId="0">
      <selection activeCell="C37" sqref="C37"/>
    </sheetView>
  </sheetViews>
  <sheetFormatPr baseColWidth="10" defaultColWidth="8.83203125" defaultRowHeight="15" x14ac:dyDescent="0.2"/>
  <cols>
    <col min="1" max="1" width="3" customWidth="1"/>
    <col min="2" max="2" width="50" customWidth="1"/>
    <col min="3" max="9" width="14" customWidth="1"/>
  </cols>
  <sheetData>
    <row r="2" spans="2:9" ht="21" x14ac:dyDescent="0.25">
      <c r="B2" s="18" t="s">
        <v>141</v>
      </c>
    </row>
    <row r="3" spans="2:9" x14ac:dyDescent="0.2">
      <c r="B3" s="31" t="s">
        <v>142</v>
      </c>
    </row>
    <row r="5" spans="2:9" ht="45" x14ac:dyDescent="0.2">
      <c r="B5" s="23" t="s">
        <v>112</v>
      </c>
      <c r="C5" s="23" t="s">
        <v>143</v>
      </c>
      <c r="D5" s="23" t="s">
        <v>144</v>
      </c>
      <c r="E5" s="23" t="s">
        <v>145</v>
      </c>
      <c r="F5" s="23" t="s">
        <v>146</v>
      </c>
      <c r="G5" s="23" t="s">
        <v>147</v>
      </c>
      <c r="H5" s="23" t="s">
        <v>148</v>
      </c>
      <c r="I5" s="23" t="s">
        <v>149</v>
      </c>
    </row>
    <row r="6" spans="2:9" x14ac:dyDescent="0.2">
      <c r="B6" s="24" t="s">
        <v>150</v>
      </c>
      <c r="C6" s="34">
        <v>2</v>
      </c>
      <c r="D6" s="34">
        <v>3</v>
      </c>
      <c r="E6" s="34">
        <v>3</v>
      </c>
      <c r="F6" s="34">
        <v>2</v>
      </c>
      <c r="G6" s="34">
        <v>2</v>
      </c>
      <c r="H6" s="34">
        <v>3</v>
      </c>
      <c r="I6" s="26" t="s">
        <v>76</v>
      </c>
    </row>
    <row r="7" spans="2:9" x14ac:dyDescent="0.2">
      <c r="B7" s="24" t="s">
        <v>117</v>
      </c>
      <c r="C7" s="35">
        <f t="shared" ref="C7:H7" si="0">C22*C36*C6</f>
        <v>1</v>
      </c>
      <c r="D7" s="35">
        <f t="shared" si="0"/>
        <v>1.7999999999999998</v>
      </c>
      <c r="E7" s="35">
        <f t="shared" si="0"/>
        <v>1.7999999999999998</v>
      </c>
      <c r="F7" s="35">
        <f t="shared" si="0"/>
        <v>1.4</v>
      </c>
      <c r="G7" s="35">
        <f t="shared" si="0"/>
        <v>1.6</v>
      </c>
      <c r="H7" s="35">
        <f t="shared" si="0"/>
        <v>1.7999999999999998</v>
      </c>
      <c r="I7" s="36">
        <f t="shared" ref="I7:I17" si="1">SUM(C7:H7)</f>
        <v>9.3999999999999986</v>
      </c>
    </row>
    <row r="8" spans="2:9" x14ac:dyDescent="0.2">
      <c r="B8" s="24" t="s">
        <v>120</v>
      </c>
      <c r="C8" s="35">
        <f t="shared" ref="C8:H8" si="2">C23*C37*C6</f>
        <v>2</v>
      </c>
      <c r="D8" s="35">
        <f t="shared" si="2"/>
        <v>3</v>
      </c>
      <c r="E8" s="35">
        <f t="shared" si="2"/>
        <v>2.4000000000000004</v>
      </c>
      <c r="F8" s="35">
        <f t="shared" si="2"/>
        <v>1.2</v>
      </c>
      <c r="G8" s="35">
        <f t="shared" si="2"/>
        <v>0.8</v>
      </c>
      <c r="H8" s="35">
        <f t="shared" si="2"/>
        <v>0.89999999999999991</v>
      </c>
      <c r="I8" s="36">
        <f t="shared" si="1"/>
        <v>10.3</v>
      </c>
    </row>
    <row r="9" spans="2:9" x14ac:dyDescent="0.2">
      <c r="B9" s="24" t="s">
        <v>123</v>
      </c>
      <c r="C9" s="35">
        <f t="shared" ref="C9:H9" si="3">C24*C38*C6</f>
        <v>1.2</v>
      </c>
      <c r="D9" s="35">
        <f t="shared" si="3"/>
        <v>3</v>
      </c>
      <c r="E9" s="35">
        <f t="shared" si="3"/>
        <v>6</v>
      </c>
      <c r="F9" s="35">
        <f t="shared" si="3"/>
        <v>4</v>
      </c>
      <c r="G9" s="35">
        <f t="shared" si="3"/>
        <v>1.4</v>
      </c>
      <c r="H9" s="35">
        <f t="shared" si="3"/>
        <v>1.2000000000000002</v>
      </c>
      <c r="I9" s="36">
        <f t="shared" si="1"/>
        <v>16.8</v>
      </c>
    </row>
    <row r="10" spans="2:9" x14ac:dyDescent="0.2">
      <c r="B10" s="24" t="s">
        <v>125</v>
      </c>
      <c r="C10" s="35">
        <f t="shared" ref="C10:H10" si="4">C25*C39*C6</f>
        <v>0.8</v>
      </c>
      <c r="D10" s="35">
        <f t="shared" si="4"/>
        <v>2.4000000000000004</v>
      </c>
      <c r="E10" s="35">
        <f t="shared" si="4"/>
        <v>6</v>
      </c>
      <c r="F10" s="35">
        <f t="shared" si="4"/>
        <v>2</v>
      </c>
      <c r="G10" s="35">
        <f t="shared" si="4"/>
        <v>1.4</v>
      </c>
      <c r="H10" s="35">
        <f t="shared" si="4"/>
        <v>0.89999999999999991</v>
      </c>
      <c r="I10" s="36">
        <f t="shared" si="1"/>
        <v>13.5</v>
      </c>
    </row>
    <row r="11" spans="2:9" x14ac:dyDescent="0.2">
      <c r="B11" s="24" t="s">
        <v>127</v>
      </c>
      <c r="C11" s="35">
        <f t="shared" ref="C11:H11" si="5">C26*C40*C6</f>
        <v>1.2</v>
      </c>
      <c r="D11" s="35">
        <f t="shared" si="5"/>
        <v>2.4000000000000004</v>
      </c>
      <c r="E11" s="35">
        <f t="shared" si="5"/>
        <v>3</v>
      </c>
      <c r="F11" s="35">
        <f t="shared" si="5"/>
        <v>1.6</v>
      </c>
      <c r="G11" s="35">
        <f t="shared" si="5"/>
        <v>1.2</v>
      </c>
      <c r="H11" s="35">
        <f t="shared" si="5"/>
        <v>0.89999999999999991</v>
      </c>
      <c r="I11" s="36">
        <f t="shared" si="1"/>
        <v>10.3</v>
      </c>
    </row>
    <row r="12" spans="2:9" x14ac:dyDescent="0.2">
      <c r="B12" s="24" t="s">
        <v>129</v>
      </c>
      <c r="C12" s="35">
        <f t="shared" ref="C12:H12" si="6">C27*C41*C6</f>
        <v>1</v>
      </c>
      <c r="D12" s="35">
        <f t="shared" si="6"/>
        <v>2.4000000000000004</v>
      </c>
      <c r="E12" s="35">
        <f t="shared" si="6"/>
        <v>3</v>
      </c>
      <c r="F12" s="35">
        <f t="shared" si="6"/>
        <v>1.4</v>
      </c>
      <c r="G12" s="35">
        <f t="shared" si="6"/>
        <v>1</v>
      </c>
      <c r="H12" s="35">
        <f t="shared" si="6"/>
        <v>0.89999999999999991</v>
      </c>
      <c r="I12" s="36">
        <f t="shared" si="1"/>
        <v>9.7000000000000011</v>
      </c>
    </row>
    <row r="13" spans="2:9" x14ac:dyDescent="0.2">
      <c r="B13" s="24" t="s">
        <v>132</v>
      </c>
      <c r="C13" s="35">
        <f t="shared" ref="C13:H13" si="7">C28*C42*C6</f>
        <v>1.6</v>
      </c>
      <c r="D13" s="35">
        <f t="shared" si="7"/>
        <v>6</v>
      </c>
      <c r="E13" s="35">
        <f t="shared" si="7"/>
        <v>2.4000000000000004</v>
      </c>
      <c r="F13" s="35">
        <f t="shared" si="7"/>
        <v>1.6</v>
      </c>
      <c r="G13" s="35">
        <f t="shared" si="7"/>
        <v>1.4</v>
      </c>
      <c r="H13" s="35">
        <f t="shared" si="7"/>
        <v>1.5</v>
      </c>
      <c r="I13" s="36">
        <f t="shared" si="1"/>
        <v>14.5</v>
      </c>
    </row>
    <row r="14" spans="2:9" x14ac:dyDescent="0.2">
      <c r="B14" s="24" t="s">
        <v>134</v>
      </c>
      <c r="C14" s="35">
        <f t="shared" ref="C14:H14" si="8">C29*C43*C6</f>
        <v>0</v>
      </c>
      <c r="D14" s="35">
        <f t="shared" si="8"/>
        <v>0</v>
      </c>
      <c r="E14" s="35">
        <f t="shared" si="8"/>
        <v>1.5</v>
      </c>
      <c r="F14" s="35">
        <f t="shared" si="8"/>
        <v>2</v>
      </c>
      <c r="G14" s="35">
        <f t="shared" si="8"/>
        <v>4</v>
      </c>
      <c r="H14" s="35">
        <f t="shared" si="8"/>
        <v>1.7999999999999998</v>
      </c>
      <c r="I14" s="36">
        <f t="shared" si="1"/>
        <v>9.3000000000000007</v>
      </c>
    </row>
    <row r="15" spans="2:9" x14ac:dyDescent="0.2">
      <c r="B15" s="24" t="s">
        <v>136</v>
      </c>
      <c r="C15" s="35">
        <f t="shared" ref="C15:H15" si="9">C30*C44*C6</f>
        <v>1</v>
      </c>
      <c r="D15" s="35">
        <f t="shared" si="9"/>
        <v>1.5</v>
      </c>
      <c r="E15" s="35">
        <f t="shared" si="9"/>
        <v>0.89999999999999991</v>
      </c>
      <c r="F15" s="35">
        <f t="shared" si="9"/>
        <v>1.2</v>
      </c>
      <c r="G15" s="35">
        <f t="shared" si="9"/>
        <v>0.8</v>
      </c>
      <c r="H15" s="35">
        <f t="shared" si="9"/>
        <v>0.60000000000000009</v>
      </c>
      <c r="I15" s="36">
        <f t="shared" si="1"/>
        <v>6</v>
      </c>
    </row>
    <row r="16" spans="2:9" x14ac:dyDescent="0.2">
      <c r="B16" s="24" t="s">
        <v>138</v>
      </c>
      <c r="C16" s="35">
        <f t="shared" ref="C16:H16" si="10">C31*C45*C6</f>
        <v>0</v>
      </c>
      <c r="D16" s="35">
        <f t="shared" si="10"/>
        <v>0</v>
      </c>
      <c r="E16" s="35">
        <f t="shared" si="10"/>
        <v>1.2000000000000002</v>
      </c>
      <c r="F16" s="35">
        <f t="shared" si="10"/>
        <v>1.2</v>
      </c>
      <c r="G16" s="35">
        <f t="shared" si="10"/>
        <v>2</v>
      </c>
      <c r="H16" s="35">
        <f t="shared" si="10"/>
        <v>2.0999999999999996</v>
      </c>
      <c r="I16" s="36">
        <f t="shared" si="1"/>
        <v>6.5</v>
      </c>
    </row>
    <row r="17" spans="2:9" x14ac:dyDescent="0.2">
      <c r="B17" s="37" t="s">
        <v>151</v>
      </c>
      <c r="C17" s="36">
        <f t="shared" ref="C17:H17" si="11">SUM(C7:C16)</f>
        <v>9.8000000000000007</v>
      </c>
      <c r="D17" s="36">
        <f t="shared" si="11"/>
        <v>22.5</v>
      </c>
      <c r="E17" s="36">
        <f t="shared" si="11"/>
        <v>28.2</v>
      </c>
      <c r="F17" s="36">
        <f t="shared" si="11"/>
        <v>17.599999999999998</v>
      </c>
      <c r="G17" s="36">
        <f t="shared" si="11"/>
        <v>15.600000000000001</v>
      </c>
      <c r="H17" s="36">
        <f t="shared" si="11"/>
        <v>12.599999999999998</v>
      </c>
      <c r="I17" s="38">
        <f t="shared" si="1"/>
        <v>106.29999999999998</v>
      </c>
    </row>
    <row r="19" spans="2:9" ht="16" x14ac:dyDescent="0.2">
      <c r="B19" s="22" t="s">
        <v>152</v>
      </c>
    </row>
    <row r="20" spans="2:9" x14ac:dyDescent="0.2">
      <c r="B20" s="21" t="s">
        <v>153</v>
      </c>
    </row>
    <row r="21" spans="2:9" ht="45" x14ac:dyDescent="0.2">
      <c r="B21" s="23" t="s">
        <v>112</v>
      </c>
      <c r="C21" s="23" t="s">
        <v>143</v>
      </c>
      <c r="D21" s="23" t="s">
        <v>144</v>
      </c>
      <c r="E21" s="23" t="s">
        <v>145</v>
      </c>
      <c r="F21" s="23" t="s">
        <v>146</v>
      </c>
      <c r="G21" s="23" t="s">
        <v>147</v>
      </c>
      <c r="H21" s="23" t="s">
        <v>148</v>
      </c>
    </row>
    <row r="22" spans="2:9" x14ac:dyDescent="0.2">
      <c r="B22" s="24" t="s">
        <v>117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</row>
    <row r="23" spans="2:9" x14ac:dyDescent="0.2">
      <c r="B23" s="24" t="s">
        <v>120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</row>
    <row r="24" spans="2:9" x14ac:dyDescent="0.2">
      <c r="B24" s="24" t="s">
        <v>123</v>
      </c>
      <c r="C24" s="34">
        <v>1</v>
      </c>
      <c r="D24" s="34">
        <v>1</v>
      </c>
      <c r="E24" s="34">
        <v>2</v>
      </c>
      <c r="F24" s="34">
        <v>2</v>
      </c>
      <c r="G24" s="34">
        <v>1</v>
      </c>
      <c r="H24" s="34">
        <v>1</v>
      </c>
    </row>
    <row r="25" spans="2:9" x14ac:dyDescent="0.2">
      <c r="B25" s="24" t="s">
        <v>125</v>
      </c>
      <c r="C25" s="34">
        <v>1</v>
      </c>
      <c r="D25" s="34">
        <v>1</v>
      </c>
      <c r="E25" s="34">
        <v>2</v>
      </c>
      <c r="F25" s="34">
        <v>1</v>
      </c>
      <c r="G25" s="34">
        <v>1</v>
      </c>
      <c r="H25" s="34">
        <v>1</v>
      </c>
    </row>
    <row r="26" spans="2:9" x14ac:dyDescent="0.2">
      <c r="B26" s="24" t="s">
        <v>127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</row>
    <row r="27" spans="2:9" x14ac:dyDescent="0.2">
      <c r="B27" s="24" t="s">
        <v>129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</row>
    <row r="28" spans="2:9" x14ac:dyDescent="0.2">
      <c r="B28" s="24" t="s">
        <v>132</v>
      </c>
      <c r="C28" s="34">
        <v>1</v>
      </c>
      <c r="D28" s="34">
        <v>2</v>
      </c>
      <c r="E28" s="34">
        <v>1</v>
      </c>
      <c r="F28" s="34">
        <v>1</v>
      </c>
      <c r="G28" s="34">
        <v>1</v>
      </c>
      <c r="H28" s="34">
        <v>1</v>
      </c>
    </row>
    <row r="29" spans="2:9" x14ac:dyDescent="0.2">
      <c r="B29" s="24" t="s">
        <v>134</v>
      </c>
      <c r="C29" s="34">
        <v>0</v>
      </c>
      <c r="D29" s="34">
        <v>0</v>
      </c>
      <c r="E29" s="34">
        <v>1</v>
      </c>
      <c r="F29" s="34">
        <v>1</v>
      </c>
      <c r="G29" s="34">
        <v>2</v>
      </c>
      <c r="H29" s="34">
        <v>1</v>
      </c>
    </row>
    <row r="30" spans="2:9" x14ac:dyDescent="0.2">
      <c r="B30" s="24" t="s">
        <v>136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</row>
    <row r="31" spans="2:9" x14ac:dyDescent="0.2">
      <c r="B31" s="24" t="s">
        <v>138</v>
      </c>
      <c r="C31" s="34">
        <v>0</v>
      </c>
      <c r="D31" s="34">
        <v>0</v>
      </c>
      <c r="E31" s="34">
        <v>1</v>
      </c>
      <c r="F31" s="34">
        <v>1</v>
      </c>
      <c r="G31" s="34">
        <v>1</v>
      </c>
      <c r="H31" s="34">
        <v>1</v>
      </c>
    </row>
    <row r="34" spans="2:8" x14ac:dyDescent="0.2">
      <c r="B34" s="21" t="s">
        <v>154</v>
      </c>
    </row>
    <row r="35" spans="2:8" ht="45" x14ac:dyDescent="0.2">
      <c r="B35" s="23" t="s">
        <v>112</v>
      </c>
      <c r="C35" s="23" t="s">
        <v>143</v>
      </c>
      <c r="D35" s="23" t="s">
        <v>144</v>
      </c>
      <c r="E35" s="23" t="s">
        <v>145</v>
      </c>
      <c r="F35" s="23" t="s">
        <v>146</v>
      </c>
      <c r="G35" s="23" t="s">
        <v>147</v>
      </c>
      <c r="H35" s="23" t="s">
        <v>148</v>
      </c>
    </row>
    <row r="36" spans="2:8" x14ac:dyDescent="0.2">
      <c r="B36" s="24" t="s">
        <v>117</v>
      </c>
      <c r="C36" s="39">
        <v>0.5</v>
      </c>
      <c r="D36" s="39">
        <v>0.6</v>
      </c>
      <c r="E36" s="39">
        <v>0.6</v>
      </c>
      <c r="F36" s="39">
        <v>0.7</v>
      </c>
      <c r="G36" s="39">
        <v>0.8</v>
      </c>
      <c r="H36" s="39">
        <v>0.6</v>
      </c>
    </row>
    <row r="37" spans="2:8" x14ac:dyDescent="0.2">
      <c r="B37" s="24" t="s">
        <v>120</v>
      </c>
      <c r="C37" s="39">
        <v>1</v>
      </c>
      <c r="D37" s="39">
        <v>1</v>
      </c>
      <c r="E37" s="39">
        <v>0.8</v>
      </c>
      <c r="F37" s="39">
        <v>0.6</v>
      </c>
      <c r="G37" s="39">
        <v>0.4</v>
      </c>
      <c r="H37" s="39">
        <v>0.3</v>
      </c>
    </row>
    <row r="38" spans="2:8" x14ac:dyDescent="0.2">
      <c r="B38" s="24" t="s">
        <v>123</v>
      </c>
      <c r="C38" s="39">
        <v>0.6</v>
      </c>
      <c r="D38" s="39">
        <v>1</v>
      </c>
      <c r="E38" s="39">
        <v>1</v>
      </c>
      <c r="F38" s="39">
        <v>1</v>
      </c>
      <c r="G38" s="39">
        <v>0.7</v>
      </c>
      <c r="H38" s="39">
        <v>0.4</v>
      </c>
    </row>
    <row r="39" spans="2:8" x14ac:dyDescent="0.2">
      <c r="B39" s="24" t="s">
        <v>125</v>
      </c>
      <c r="C39" s="39">
        <v>0.4</v>
      </c>
      <c r="D39" s="39">
        <v>0.8</v>
      </c>
      <c r="E39" s="39">
        <v>1</v>
      </c>
      <c r="F39" s="39">
        <v>1</v>
      </c>
      <c r="G39" s="39">
        <v>0.7</v>
      </c>
      <c r="H39" s="39">
        <v>0.3</v>
      </c>
    </row>
    <row r="40" spans="2:8" x14ac:dyDescent="0.2">
      <c r="B40" s="24" t="s">
        <v>127</v>
      </c>
      <c r="C40" s="39">
        <v>0.6</v>
      </c>
      <c r="D40" s="39">
        <v>0.8</v>
      </c>
      <c r="E40" s="39">
        <v>1</v>
      </c>
      <c r="F40" s="39">
        <v>0.8</v>
      </c>
      <c r="G40" s="39">
        <v>0.6</v>
      </c>
      <c r="H40" s="39">
        <v>0.3</v>
      </c>
    </row>
    <row r="41" spans="2:8" x14ac:dyDescent="0.2">
      <c r="B41" s="24" t="s">
        <v>129</v>
      </c>
      <c r="C41" s="39">
        <v>0.5</v>
      </c>
      <c r="D41" s="39">
        <v>0.8</v>
      </c>
      <c r="E41" s="39">
        <v>1</v>
      </c>
      <c r="F41" s="39">
        <v>0.7</v>
      </c>
      <c r="G41" s="39">
        <v>0.5</v>
      </c>
      <c r="H41" s="39">
        <v>0.3</v>
      </c>
    </row>
    <row r="42" spans="2:8" x14ac:dyDescent="0.2">
      <c r="B42" s="24" t="s">
        <v>132</v>
      </c>
      <c r="C42" s="39">
        <v>0.8</v>
      </c>
      <c r="D42" s="39">
        <v>1</v>
      </c>
      <c r="E42" s="39">
        <v>0.8</v>
      </c>
      <c r="F42" s="39">
        <v>0.8</v>
      </c>
      <c r="G42" s="39">
        <v>0.7</v>
      </c>
      <c r="H42" s="39">
        <v>0.5</v>
      </c>
    </row>
    <row r="43" spans="2:8" x14ac:dyDescent="0.2">
      <c r="B43" s="24" t="s">
        <v>134</v>
      </c>
      <c r="C43" s="39">
        <v>0</v>
      </c>
      <c r="D43" s="39">
        <v>0</v>
      </c>
      <c r="E43" s="39">
        <v>0.5</v>
      </c>
      <c r="F43" s="39">
        <v>1</v>
      </c>
      <c r="G43" s="39">
        <v>1</v>
      </c>
      <c r="H43" s="39">
        <v>0.6</v>
      </c>
    </row>
    <row r="44" spans="2:8" x14ac:dyDescent="0.2">
      <c r="B44" s="24" t="s">
        <v>136</v>
      </c>
      <c r="C44" s="39">
        <v>0.5</v>
      </c>
      <c r="D44" s="39">
        <v>0.5</v>
      </c>
      <c r="E44" s="39">
        <v>0.3</v>
      </c>
      <c r="F44" s="39">
        <v>0.6</v>
      </c>
      <c r="G44" s="39">
        <v>0.4</v>
      </c>
      <c r="H44" s="39">
        <v>0.2</v>
      </c>
    </row>
    <row r="45" spans="2:8" x14ac:dyDescent="0.2">
      <c r="B45" s="24" t="s">
        <v>138</v>
      </c>
      <c r="C45" s="39">
        <v>0</v>
      </c>
      <c r="D45" s="39">
        <v>0</v>
      </c>
      <c r="E45" s="39">
        <v>0.4</v>
      </c>
      <c r="F45" s="39">
        <v>0.6</v>
      </c>
      <c r="G45" s="39">
        <v>1</v>
      </c>
      <c r="H45" s="39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7"/>
  <sheetViews>
    <sheetView topLeftCell="B1" zoomScale="138" workbookViewId="0">
      <selection activeCell="J17" sqref="J17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9" width="14" customWidth="1"/>
    <col min="10" max="10" width="16" customWidth="1"/>
    <col min="11" max="11" width="12" customWidth="1"/>
  </cols>
  <sheetData>
    <row r="2" spans="2:11" ht="21" x14ac:dyDescent="0.25">
      <c r="B2" s="18" t="s">
        <v>155</v>
      </c>
    </row>
    <row r="3" spans="2:11" x14ac:dyDescent="0.2">
      <c r="B3" s="31" t="s">
        <v>156</v>
      </c>
    </row>
    <row r="5" spans="2:11" ht="16" x14ac:dyDescent="0.2">
      <c r="B5" s="22" t="s">
        <v>157</v>
      </c>
    </row>
    <row r="6" spans="2:11" ht="45" x14ac:dyDescent="0.2">
      <c r="B6" s="23" t="s">
        <v>112</v>
      </c>
      <c r="C6" s="23" t="s">
        <v>158</v>
      </c>
      <c r="D6" s="23" t="s">
        <v>143</v>
      </c>
      <c r="E6" s="23" t="s">
        <v>144</v>
      </c>
      <c r="F6" s="23" t="s">
        <v>145</v>
      </c>
      <c r="G6" s="23" t="s">
        <v>146</v>
      </c>
      <c r="H6" s="23" t="s">
        <v>147</v>
      </c>
      <c r="I6" s="23" t="s">
        <v>148</v>
      </c>
      <c r="J6" s="23" t="s">
        <v>159</v>
      </c>
      <c r="K6" s="23" t="s">
        <v>160</v>
      </c>
    </row>
    <row r="7" spans="2:11" x14ac:dyDescent="0.2">
      <c r="B7" s="24" t="s">
        <v>117</v>
      </c>
      <c r="C7" s="40">
        <f>'2. Roles &amp; Rates'!D6</f>
        <v>1000</v>
      </c>
      <c r="D7" s="40">
        <f>'3. Phase Staffing'!C7*'1. Cover &amp; Assumptions'!$C$25*$C7</f>
        <v>5000</v>
      </c>
      <c r="E7" s="40">
        <f>'3. Phase Staffing'!D7*'1. Cover &amp; Assumptions'!$C$25*$C7</f>
        <v>9000</v>
      </c>
      <c r="F7" s="40">
        <f>'3. Phase Staffing'!E7*'1. Cover &amp; Assumptions'!$C$25*$C7</f>
        <v>9000</v>
      </c>
      <c r="G7" s="40">
        <f>'3. Phase Staffing'!F7*'1. Cover &amp; Assumptions'!$C$25*$C7</f>
        <v>7000</v>
      </c>
      <c r="H7" s="40">
        <f>'3. Phase Staffing'!G7*'1. Cover &amp; Assumptions'!$C$25*$C7</f>
        <v>8000</v>
      </c>
      <c r="I7" s="40">
        <f>'3. Phase Staffing'!H7*'1. Cover &amp; Assumptions'!$C$25*$C7</f>
        <v>9000</v>
      </c>
      <c r="J7" s="41">
        <f t="shared" ref="J7:J16" si="0">SUM(D7:I7)</f>
        <v>47000</v>
      </c>
      <c r="K7" s="42">
        <f t="shared" ref="K7:K16" si="1">IFERROR(J7/$J$17,0)</f>
        <v>9.9623761326903718E-2</v>
      </c>
    </row>
    <row r="8" spans="2:11" x14ac:dyDescent="0.2">
      <c r="B8" s="24" t="s">
        <v>120</v>
      </c>
      <c r="C8" s="40">
        <f>'2. Roles &amp; Rates'!D7</f>
        <v>1100</v>
      </c>
      <c r="D8" s="40">
        <f>'3. Phase Staffing'!C8*'1. Cover &amp; Assumptions'!$C$25*$C8</f>
        <v>11000</v>
      </c>
      <c r="E8" s="40">
        <f>'3. Phase Staffing'!D8*'1. Cover &amp; Assumptions'!$C$25*$C8</f>
        <v>16500</v>
      </c>
      <c r="F8" s="40">
        <f>'3. Phase Staffing'!E8*'1. Cover &amp; Assumptions'!$C$25*$C8</f>
        <v>13200.000000000002</v>
      </c>
      <c r="G8" s="40">
        <f>'3. Phase Staffing'!F8*'1. Cover &amp; Assumptions'!$C$25*$C8</f>
        <v>6600</v>
      </c>
      <c r="H8" s="40">
        <f>'3. Phase Staffing'!G8*'1. Cover &amp; Assumptions'!$C$25*$C8</f>
        <v>4400</v>
      </c>
      <c r="I8" s="40">
        <f>'3. Phase Staffing'!H8*'1. Cover &amp; Assumptions'!$C$25*$C8</f>
        <v>4950</v>
      </c>
      <c r="J8" s="41">
        <f t="shared" si="0"/>
        <v>56650</v>
      </c>
      <c r="K8" s="42">
        <f t="shared" si="1"/>
        <v>0.12007842721636373</v>
      </c>
    </row>
    <row r="9" spans="2:11" x14ac:dyDescent="0.2">
      <c r="B9" s="24" t="s">
        <v>123</v>
      </c>
      <c r="C9" s="40">
        <f>'2. Roles &amp; Rates'!D8</f>
        <v>900</v>
      </c>
      <c r="D9" s="40">
        <f>'3. Phase Staffing'!C9*'1. Cover &amp; Assumptions'!$C$25*$C9</f>
        <v>5400</v>
      </c>
      <c r="E9" s="40">
        <f>'3. Phase Staffing'!D9*'1. Cover &amp; Assumptions'!$C$25*$C9</f>
        <v>13500</v>
      </c>
      <c r="F9" s="40">
        <f>'3. Phase Staffing'!E9*'1. Cover &amp; Assumptions'!$C$25*$C9</f>
        <v>27000</v>
      </c>
      <c r="G9" s="40">
        <f>'3. Phase Staffing'!F9*'1. Cover &amp; Assumptions'!$C$25*$C9</f>
        <v>18000</v>
      </c>
      <c r="H9" s="40">
        <f>'3. Phase Staffing'!G9*'1. Cover &amp; Assumptions'!$C$25*$C9</f>
        <v>6300</v>
      </c>
      <c r="I9" s="40">
        <f>'3. Phase Staffing'!H9*'1. Cover &amp; Assumptions'!$C$25*$C9</f>
        <v>5400.0000000000009</v>
      </c>
      <c r="J9" s="41">
        <f t="shared" si="0"/>
        <v>75600</v>
      </c>
      <c r="K9" s="42">
        <f t="shared" si="1"/>
        <v>0.16024587992157277</v>
      </c>
    </row>
    <row r="10" spans="2:11" x14ac:dyDescent="0.2">
      <c r="B10" s="24" t="s">
        <v>125</v>
      </c>
      <c r="C10" s="40">
        <f>'2. Roles &amp; Rates'!D9</f>
        <v>850</v>
      </c>
      <c r="D10" s="40">
        <f>'3. Phase Staffing'!C10*'1. Cover &amp; Assumptions'!$C$25*$C10</f>
        <v>3400</v>
      </c>
      <c r="E10" s="40">
        <f>'3. Phase Staffing'!D10*'1. Cover &amp; Assumptions'!$C$25*$C10</f>
        <v>10200.000000000002</v>
      </c>
      <c r="F10" s="40">
        <f>'3. Phase Staffing'!E10*'1. Cover &amp; Assumptions'!$C$25*$C10</f>
        <v>25500</v>
      </c>
      <c r="G10" s="40">
        <f>'3. Phase Staffing'!F10*'1. Cover &amp; Assumptions'!$C$25*$C10</f>
        <v>8500</v>
      </c>
      <c r="H10" s="40">
        <f>'3. Phase Staffing'!G10*'1. Cover &amp; Assumptions'!$C$25*$C10</f>
        <v>5950</v>
      </c>
      <c r="I10" s="40">
        <f>'3. Phase Staffing'!H10*'1. Cover &amp; Assumptions'!$C$25*$C10</f>
        <v>3825</v>
      </c>
      <c r="J10" s="41">
        <f t="shared" si="0"/>
        <v>57375</v>
      </c>
      <c r="K10" s="42">
        <f t="shared" si="1"/>
        <v>0.12161517672619362</v>
      </c>
    </row>
    <row r="11" spans="2:11" x14ac:dyDescent="0.2">
      <c r="B11" s="24" t="s">
        <v>127</v>
      </c>
      <c r="C11" s="40">
        <f>'2. Roles &amp; Rates'!D10</f>
        <v>900</v>
      </c>
      <c r="D11" s="40">
        <f>'3. Phase Staffing'!C11*'1. Cover &amp; Assumptions'!$C$25*$C11</f>
        <v>5400</v>
      </c>
      <c r="E11" s="40">
        <f>'3. Phase Staffing'!D11*'1. Cover &amp; Assumptions'!$C$25*$C11</f>
        <v>10800.000000000002</v>
      </c>
      <c r="F11" s="40">
        <f>'3. Phase Staffing'!E11*'1. Cover &amp; Assumptions'!$C$25*$C11</f>
        <v>13500</v>
      </c>
      <c r="G11" s="40">
        <f>'3. Phase Staffing'!F11*'1. Cover &amp; Assumptions'!$C$25*$C11</f>
        <v>7200</v>
      </c>
      <c r="H11" s="40">
        <f>'3. Phase Staffing'!G11*'1. Cover &amp; Assumptions'!$C$25*$C11</f>
        <v>5400</v>
      </c>
      <c r="I11" s="40">
        <f>'3. Phase Staffing'!H11*'1. Cover &amp; Assumptions'!$C$25*$C11</f>
        <v>4050</v>
      </c>
      <c r="J11" s="41">
        <f t="shared" si="0"/>
        <v>46350</v>
      </c>
      <c r="K11" s="42">
        <f t="shared" si="1"/>
        <v>9.8245985904297603E-2</v>
      </c>
    </row>
    <row r="12" spans="2:11" x14ac:dyDescent="0.2">
      <c r="B12" s="24" t="s">
        <v>129</v>
      </c>
      <c r="C12" s="40">
        <f>'2. Roles &amp; Rates'!D11</f>
        <v>750</v>
      </c>
      <c r="D12" s="40">
        <f>'3. Phase Staffing'!C12*'1. Cover &amp; Assumptions'!$C$25*$C12</f>
        <v>3750</v>
      </c>
      <c r="E12" s="40">
        <f>'3. Phase Staffing'!D12*'1. Cover &amp; Assumptions'!$C$25*$C12</f>
        <v>9000.0000000000018</v>
      </c>
      <c r="F12" s="40">
        <f>'3. Phase Staffing'!E12*'1. Cover &amp; Assumptions'!$C$25*$C12</f>
        <v>11250</v>
      </c>
      <c r="G12" s="40">
        <f>'3. Phase Staffing'!F12*'1. Cover &amp; Assumptions'!$C$25*$C12</f>
        <v>5250</v>
      </c>
      <c r="H12" s="40">
        <f>'3. Phase Staffing'!G12*'1. Cover &amp; Assumptions'!$C$25*$C12</f>
        <v>3750</v>
      </c>
      <c r="I12" s="40">
        <f>'3. Phase Staffing'!H12*'1. Cover &amp; Assumptions'!$C$25*$C12</f>
        <v>3375</v>
      </c>
      <c r="J12" s="41">
        <f t="shared" si="0"/>
        <v>36375</v>
      </c>
      <c r="K12" s="42">
        <f t="shared" si="1"/>
        <v>7.7102432303534529E-2</v>
      </c>
    </row>
    <row r="13" spans="2:11" x14ac:dyDescent="0.2">
      <c r="B13" s="24" t="s">
        <v>132</v>
      </c>
      <c r="C13" s="40">
        <f>'2. Roles &amp; Rates'!D12</f>
        <v>950</v>
      </c>
      <c r="D13" s="40">
        <f>'3. Phase Staffing'!C13*'1. Cover &amp; Assumptions'!$C$25*$C13</f>
        <v>7600</v>
      </c>
      <c r="E13" s="40">
        <f>'3. Phase Staffing'!D13*'1. Cover &amp; Assumptions'!$C$25*$C13</f>
        <v>28500</v>
      </c>
      <c r="F13" s="40">
        <f>'3. Phase Staffing'!E13*'1. Cover &amp; Assumptions'!$C$25*$C13</f>
        <v>11400.000000000002</v>
      </c>
      <c r="G13" s="40">
        <f>'3. Phase Staffing'!F13*'1. Cover &amp; Assumptions'!$C$25*$C13</f>
        <v>7600</v>
      </c>
      <c r="H13" s="40">
        <f>'3. Phase Staffing'!G13*'1. Cover &amp; Assumptions'!$C$25*$C13</f>
        <v>6650</v>
      </c>
      <c r="I13" s="40">
        <f>'3. Phase Staffing'!H13*'1. Cover &amp; Assumptions'!$C$25*$C13</f>
        <v>7125</v>
      </c>
      <c r="J13" s="41">
        <f t="shared" si="0"/>
        <v>68875</v>
      </c>
      <c r="K13" s="42">
        <f t="shared" si="1"/>
        <v>0.14599120343384028</v>
      </c>
    </row>
    <row r="14" spans="2:11" x14ac:dyDescent="0.2">
      <c r="B14" s="24" t="s">
        <v>134</v>
      </c>
      <c r="C14" s="40">
        <f>'2. Roles &amp; Rates'!D13</f>
        <v>700</v>
      </c>
      <c r="D14" s="40">
        <f>'3. Phase Staffing'!C14*'1. Cover &amp; Assumptions'!$C$25*$C14</f>
        <v>0</v>
      </c>
      <c r="E14" s="40">
        <f>'3. Phase Staffing'!D14*'1. Cover &amp; Assumptions'!$C$25*$C14</f>
        <v>0</v>
      </c>
      <c r="F14" s="40">
        <f>'3. Phase Staffing'!E14*'1. Cover &amp; Assumptions'!$C$25*$C14</f>
        <v>5250</v>
      </c>
      <c r="G14" s="40">
        <f>'3. Phase Staffing'!F14*'1. Cover &amp; Assumptions'!$C$25*$C14</f>
        <v>7000</v>
      </c>
      <c r="H14" s="40">
        <f>'3. Phase Staffing'!G14*'1. Cover &amp; Assumptions'!$C$25*$C14</f>
        <v>14000</v>
      </c>
      <c r="I14" s="40">
        <f>'3. Phase Staffing'!H14*'1. Cover &amp; Assumptions'!$C$25*$C14</f>
        <v>6300</v>
      </c>
      <c r="J14" s="41">
        <f t="shared" si="0"/>
        <v>32550</v>
      </c>
      <c r="K14" s="42">
        <f t="shared" si="1"/>
        <v>6.8994753855121618E-2</v>
      </c>
    </row>
    <row r="15" spans="2:11" x14ac:dyDescent="0.2">
      <c r="B15" s="24" t="s">
        <v>136</v>
      </c>
      <c r="C15" s="40">
        <f>'2. Roles &amp; Rates'!D14</f>
        <v>1050</v>
      </c>
      <c r="D15" s="40">
        <f>'3. Phase Staffing'!C15*'1. Cover &amp; Assumptions'!$C$25*$C15</f>
        <v>5250</v>
      </c>
      <c r="E15" s="40">
        <f>'3. Phase Staffing'!D15*'1. Cover &amp; Assumptions'!$C$25*$C15</f>
        <v>7875</v>
      </c>
      <c r="F15" s="40">
        <f>'3. Phase Staffing'!E15*'1. Cover &amp; Assumptions'!$C$25*$C15</f>
        <v>4725</v>
      </c>
      <c r="G15" s="40">
        <f>'3. Phase Staffing'!F15*'1. Cover &amp; Assumptions'!$C$25*$C15</f>
        <v>6300</v>
      </c>
      <c r="H15" s="40">
        <f>'3. Phase Staffing'!G15*'1. Cover &amp; Assumptions'!$C$25*$C15</f>
        <v>4200</v>
      </c>
      <c r="I15" s="40">
        <f>'3. Phase Staffing'!H15*'1. Cover &amp; Assumptions'!$C$25*$C15</f>
        <v>3150.0000000000005</v>
      </c>
      <c r="J15" s="41">
        <f t="shared" si="0"/>
        <v>31500</v>
      </c>
      <c r="K15" s="42">
        <f t="shared" si="1"/>
        <v>6.6769116633988657E-2</v>
      </c>
    </row>
    <row r="16" spans="2:11" x14ac:dyDescent="0.2">
      <c r="B16" s="24" t="s">
        <v>138</v>
      </c>
      <c r="C16" s="40">
        <f>'2. Roles &amp; Rates'!D15</f>
        <v>600</v>
      </c>
      <c r="D16" s="40">
        <f>'3. Phase Staffing'!C16*'1. Cover &amp; Assumptions'!$C$25*$C16</f>
        <v>0</v>
      </c>
      <c r="E16" s="40">
        <f>'3. Phase Staffing'!D16*'1. Cover &amp; Assumptions'!$C$25*$C16</f>
        <v>0</v>
      </c>
      <c r="F16" s="40">
        <f>'3. Phase Staffing'!E16*'1. Cover &amp; Assumptions'!$C$25*$C16</f>
        <v>3600.0000000000005</v>
      </c>
      <c r="G16" s="40">
        <f>'3. Phase Staffing'!F16*'1. Cover &amp; Assumptions'!$C$25*$C16</f>
        <v>3600</v>
      </c>
      <c r="H16" s="40">
        <f>'3. Phase Staffing'!G16*'1. Cover &amp; Assumptions'!$C$25*$C16</f>
        <v>6000</v>
      </c>
      <c r="I16" s="40">
        <f>'3. Phase Staffing'!H16*'1. Cover &amp; Assumptions'!$C$25*$C16</f>
        <v>6299.9999999999991</v>
      </c>
      <c r="J16" s="41">
        <f t="shared" si="0"/>
        <v>19500</v>
      </c>
      <c r="K16" s="42">
        <f t="shared" si="1"/>
        <v>4.1333262678183456E-2</v>
      </c>
    </row>
    <row r="17" spans="2:11" ht="16" x14ac:dyDescent="0.2">
      <c r="B17" s="37" t="s">
        <v>161</v>
      </c>
      <c r="C17" s="43"/>
      <c r="D17" s="41">
        <f t="shared" ref="D17:J17" si="2">SUM(D7:D16)</f>
        <v>46800</v>
      </c>
      <c r="E17" s="41">
        <f t="shared" si="2"/>
        <v>105375</v>
      </c>
      <c r="F17" s="41">
        <f t="shared" si="2"/>
        <v>124425</v>
      </c>
      <c r="G17" s="41">
        <f t="shared" si="2"/>
        <v>77050</v>
      </c>
      <c r="H17" s="41">
        <f t="shared" si="2"/>
        <v>64650</v>
      </c>
      <c r="I17" s="41">
        <f t="shared" si="2"/>
        <v>53475</v>
      </c>
      <c r="J17" s="44">
        <f t="shared" si="2"/>
        <v>471775</v>
      </c>
      <c r="K17" s="45" t="s">
        <v>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8"/>
  <sheetViews>
    <sheetView topLeftCell="A3" zoomScale="150" workbookViewId="0">
      <selection activeCell="B7" sqref="B7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4" width="14" customWidth="1"/>
    <col min="5" max="5" width="16" customWidth="1"/>
    <col min="6" max="6" width="14" customWidth="1"/>
    <col min="7" max="7" width="60" customWidth="1"/>
  </cols>
  <sheetData>
    <row r="2" spans="2:7" ht="21" x14ac:dyDescent="0.25">
      <c r="B2" s="18" t="s">
        <v>163</v>
      </c>
    </row>
    <row r="3" spans="2:7" x14ac:dyDescent="0.2">
      <c r="B3" s="31" t="s">
        <v>164</v>
      </c>
    </row>
    <row r="5" spans="2:7" x14ac:dyDescent="0.2">
      <c r="B5" s="23" t="s">
        <v>165</v>
      </c>
      <c r="C5" s="23" t="s">
        <v>166</v>
      </c>
      <c r="D5" s="23" t="s">
        <v>167</v>
      </c>
      <c r="E5" s="23" t="s">
        <v>159</v>
      </c>
      <c r="F5" s="23" t="s">
        <v>168</v>
      </c>
      <c r="G5" s="23" t="s">
        <v>116</v>
      </c>
    </row>
    <row r="6" spans="2:7" x14ac:dyDescent="0.2">
      <c r="B6" s="24" t="s">
        <v>169</v>
      </c>
      <c r="C6" s="32">
        <v>6000</v>
      </c>
      <c r="D6" s="34">
        <v>4</v>
      </c>
      <c r="E6" s="41">
        <f t="shared" ref="E6:E17" si="0">C6*D6</f>
        <v>24000</v>
      </c>
      <c r="F6" s="26" t="s">
        <v>170</v>
      </c>
      <c r="G6" s="27" t="s">
        <v>171</v>
      </c>
    </row>
    <row r="7" spans="2:7" ht="30" x14ac:dyDescent="0.2">
      <c r="B7" s="24" t="s">
        <v>172</v>
      </c>
      <c r="C7" s="32">
        <v>1500</v>
      </c>
      <c r="D7" s="34">
        <v>4</v>
      </c>
      <c r="E7" s="41">
        <f t="shared" si="0"/>
        <v>6000</v>
      </c>
      <c r="F7" s="26" t="s">
        <v>170</v>
      </c>
      <c r="G7" s="27" t="s">
        <v>173</v>
      </c>
    </row>
    <row r="8" spans="2:7" x14ac:dyDescent="0.2">
      <c r="B8" s="24" t="s">
        <v>174</v>
      </c>
      <c r="C8" s="32">
        <v>4000</v>
      </c>
      <c r="D8" s="34">
        <v>4</v>
      </c>
      <c r="E8" s="41">
        <f t="shared" si="0"/>
        <v>16000</v>
      </c>
      <c r="F8" s="26" t="s">
        <v>175</v>
      </c>
      <c r="G8" s="27" t="s">
        <v>176</v>
      </c>
    </row>
    <row r="9" spans="2:7" x14ac:dyDescent="0.2">
      <c r="B9" s="24" t="s">
        <v>177</v>
      </c>
      <c r="C9" s="32">
        <v>2500</v>
      </c>
      <c r="D9" s="34">
        <v>4</v>
      </c>
      <c r="E9" s="41">
        <f t="shared" si="0"/>
        <v>10000</v>
      </c>
      <c r="F9" s="26" t="s">
        <v>175</v>
      </c>
      <c r="G9" s="27" t="s">
        <v>178</v>
      </c>
    </row>
    <row r="10" spans="2:7" x14ac:dyDescent="0.2">
      <c r="B10" s="24" t="s">
        <v>179</v>
      </c>
      <c r="C10" s="32">
        <v>1500</v>
      </c>
      <c r="D10" s="34">
        <v>4</v>
      </c>
      <c r="E10" s="41">
        <f t="shared" si="0"/>
        <v>6000</v>
      </c>
      <c r="F10" s="26" t="s">
        <v>175</v>
      </c>
      <c r="G10" s="27" t="s">
        <v>180</v>
      </c>
    </row>
    <row r="11" spans="2:7" x14ac:dyDescent="0.2">
      <c r="B11" s="24" t="s">
        <v>181</v>
      </c>
      <c r="C11" s="32">
        <v>1500</v>
      </c>
      <c r="D11" s="34">
        <v>4</v>
      </c>
      <c r="E11" s="41">
        <f t="shared" si="0"/>
        <v>6000</v>
      </c>
      <c r="F11" s="26" t="s">
        <v>170</v>
      </c>
      <c r="G11" s="27" t="s">
        <v>182</v>
      </c>
    </row>
    <row r="12" spans="2:7" x14ac:dyDescent="0.2">
      <c r="B12" s="24" t="s">
        <v>183</v>
      </c>
      <c r="C12" s="32">
        <v>800</v>
      </c>
      <c r="D12" s="34">
        <v>4</v>
      </c>
      <c r="E12" s="41">
        <f t="shared" si="0"/>
        <v>3200</v>
      </c>
      <c r="F12" s="26" t="s">
        <v>170</v>
      </c>
      <c r="G12" s="27" t="s">
        <v>184</v>
      </c>
    </row>
    <row r="13" spans="2:7" x14ac:dyDescent="0.2">
      <c r="B13" s="24" t="s">
        <v>185</v>
      </c>
      <c r="C13" s="32">
        <v>2000</v>
      </c>
      <c r="D13" s="34">
        <v>4</v>
      </c>
      <c r="E13" s="41">
        <f t="shared" si="0"/>
        <v>8000</v>
      </c>
      <c r="F13" s="26" t="s">
        <v>170</v>
      </c>
      <c r="G13" s="27" t="s">
        <v>186</v>
      </c>
    </row>
    <row r="14" spans="2:7" x14ac:dyDescent="0.2">
      <c r="B14" s="24" t="s">
        <v>187</v>
      </c>
      <c r="C14" s="32">
        <v>25000</v>
      </c>
      <c r="D14" s="34">
        <v>1</v>
      </c>
      <c r="E14" s="41">
        <f t="shared" si="0"/>
        <v>25000</v>
      </c>
      <c r="F14" s="26" t="s">
        <v>188</v>
      </c>
      <c r="G14" s="27" t="s">
        <v>189</v>
      </c>
    </row>
    <row r="15" spans="2:7" x14ac:dyDescent="0.2">
      <c r="B15" s="24" t="s">
        <v>190</v>
      </c>
      <c r="C15" s="32">
        <v>9000</v>
      </c>
      <c r="D15" s="34">
        <v>4</v>
      </c>
      <c r="E15" s="41">
        <f t="shared" si="0"/>
        <v>36000</v>
      </c>
      <c r="F15" s="26" t="s">
        <v>170</v>
      </c>
      <c r="G15" s="27" t="s">
        <v>191</v>
      </c>
    </row>
    <row r="16" spans="2:7" x14ac:dyDescent="0.2">
      <c r="B16" s="24" t="s">
        <v>192</v>
      </c>
      <c r="C16" s="32">
        <v>8000</v>
      </c>
      <c r="D16" s="34">
        <v>1</v>
      </c>
      <c r="E16" s="41">
        <f t="shared" si="0"/>
        <v>8000</v>
      </c>
      <c r="F16" s="26" t="s">
        <v>193</v>
      </c>
      <c r="G16" s="27" t="s">
        <v>194</v>
      </c>
    </row>
    <row r="17" spans="2:7" x14ac:dyDescent="0.2">
      <c r="B17" s="24" t="s">
        <v>195</v>
      </c>
      <c r="C17" s="32">
        <v>1500</v>
      </c>
      <c r="D17" s="34">
        <v>4</v>
      </c>
      <c r="E17" s="41">
        <f t="shared" si="0"/>
        <v>6000</v>
      </c>
      <c r="F17" s="26" t="s">
        <v>196</v>
      </c>
      <c r="G17" s="27" t="s">
        <v>197</v>
      </c>
    </row>
    <row r="18" spans="2:7" ht="16" x14ac:dyDescent="0.2">
      <c r="B18" s="37" t="s">
        <v>198</v>
      </c>
      <c r="E18" s="44">
        <f>SUM(E6:E17)</f>
        <v>154200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22"/>
  <sheetViews>
    <sheetView zoomScale="113" workbookViewId="0">
      <selection activeCell="J21" sqref="J21"/>
    </sheetView>
  </sheetViews>
  <sheetFormatPr baseColWidth="10" defaultColWidth="8.83203125" defaultRowHeight="15" x14ac:dyDescent="0.2"/>
  <cols>
    <col min="1" max="1" width="3" customWidth="1"/>
    <col min="2" max="2" width="38" customWidth="1"/>
    <col min="3" max="7" width="16" customWidth="1"/>
    <col min="8" max="8" width="18" customWidth="1"/>
    <col min="9" max="9" width="50" customWidth="1"/>
    <col min="10" max="10" width="32.83203125" customWidth="1"/>
  </cols>
  <sheetData>
    <row r="2" spans="2:10" ht="21" x14ac:dyDescent="0.25">
      <c r="B2" s="18" t="s">
        <v>199</v>
      </c>
    </row>
    <row r="3" spans="2:10" x14ac:dyDescent="0.2">
      <c r="B3" s="31" t="s">
        <v>200</v>
      </c>
    </row>
    <row r="5" spans="2:10" ht="45" x14ac:dyDescent="0.2">
      <c r="B5" s="23" t="s">
        <v>112</v>
      </c>
      <c r="C5" s="23" t="s">
        <v>158</v>
      </c>
      <c r="D5" s="23" t="s">
        <v>201</v>
      </c>
      <c r="E5" s="23" t="s">
        <v>202</v>
      </c>
      <c r="F5" s="23" t="s">
        <v>203</v>
      </c>
      <c r="G5" s="23" t="s">
        <v>204</v>
      </c>
      <c r="H5" s="23" t="s">
        <v>205</v>
      </c>
      <c r="I5" s="23" t="s">
        <v>206</v>
      </c>
      <c r="J5" s="23" t="s">
        <v>116</v>
      </c>
    </row>
    <row r="6" spans="2:10" ht="24" customHeight="1" x14ac:dyDescent="0.2">
      <c r="B6" s="24" t="s">
        <v>117</v>
      </c>
      <c r="C6" s="40">
        <f>'2. Roles &amp; Rates'!D6</f>
        <v>1000</v>
      </c>
      <c r="D6" s="34">
        <v>3</v>
      </c>
      <c r="E6" s="34">
        <v>3</v>
      </c>
      <c r="F6" s="34">
        <v>3</v>
      </c>
      <c r="G6" s="34">
        <v>3</v>
      </c>
      <c r="H6" s="34">
        <v>3</v>
      </c>
      <c r="I6" s="46">
        <f t="shared" ref="I6:I15" si="0">SUM(D6:H6)</f>
        <v>15</v>
      </c>
      <c r="J6" s="27" t="s">
        <v>207</v>
      </c>
    </row>
    <row r="7" spans="2:10" ht="24" customHeight="1" x14ac:dyDescent="0.2">
      <c r="B7" s="24" t="s">
        <v>120</v>
      </c>
      <c r="C7" s="40">
        <f>'2. Roles &amp; Rates'!D7</f>
        <v>1100</v>
      </c>
      <c r="D7" s="34">
        <v>4</v>
      </c>
      <c r="E7" s="34">
        <v>4</v>
      </c>
      <c r="F7" s="34">
        <v>4</v>
      </c>
      <c r="G7" s="34">
        <v>4</v>
      </c>
      <c r="H7" s="34">
        <v>3</v>
      </c>
      <c r="I7" s="46">
        <f t="shared" si="0"/>
        <v>19</v>
      </c>
      <c r="J7" s="27" t="s">
        <v>208</v>
      </c>
    </row>
    <row r="8" spans="2:10" ht="24" customHeight="1" x14ac:dyDescent="0.2">
      <c r="B8" s="24" t="s">
        <v>123</v>
      </c>
      <c r="C8" s="40">
        <f>'2. Roles &amp; Rates'!D8</f>
        <v>900</v>
      </c>
      <c r="D8" s="34">
        <v>10</v>
      </c>
      <c r="E8" s="34">
        <v>8</v>
      </c>
      <c r="F8" s="34">
        <v>8</v>
      </c>
      <c r="G8" s="34">
        <v>8</v>
      </c>
      <c r="H8" s="34">
        <v>6</v>
      </c>
      <c r="I8" s="46">
        <f t="shared" si="0"/>
        <v>40</v>
      </c>
      <c r="J8" s="27" t="s">
        <v>209</v>
      </c>
    </row>
    <row r="9" spans="2:10" ht="24" customHeight="1" x14ac:dyDescent="0.2">
      <c r="B9" s="24" t="s">
        <v>125</v>
      </c>
      <c r="C9" s="40">
        <f>'2. Roles &amp; Rates'!D9</f>
        <v>850</v>
      </c>
      <c r="D9" s="34">
        <v>4</v>
      </c>
      <c r="E9" s="34">
        <v>8</v>
      </c>
      <c r="F9" s="34">
        <v>2</v>
      </c>
      <c r="G9" s="34">
        <v>2</v>
      </c>
      <c r="H9" s="34">
        <v>0</v>
      </c>
      <c r="I9" s="46">
        <f t="shared" si="0"/>
        <v>16</v>
      </c>
      <c r="J9" s="27" t="s">
        <v>210</v>
      </c>
    </row>
    <row r="10" spans="2:10" ht="24" customHeight="1" x14ac:dyDescent="0.2">
      <c r="B10" s="24" t="s">
        <v>127</v>
      </c>
      <c r="C10" s="40">
        <f>'2. Roles &amp; Rates'!D10</f>
        <v>900</v>
      </c>
      <c r="D10" s="34">
        <v>10</v>
      </c>
      <c r="E10" s="34">
        <v>8</v>
      </c>
      <c r="F10" s="34">
        <v>12</v>
      </c>
      <c r="G10" s="34">
        <v>8</v>
      </c>
      <c r="H10" s="34">
        <v>10</v>
      </c>
      <c r="I10" s="46">
        <f t="shared" si="0"/>
        <v>48</v>
      </c>
      <c r="J10" s="27" t="s">
        <v>211</v>
      </c>
    </row>
    <row r="11" spans="2:10" ht="24" customHeight="1" x14ac:dyDescent="0.2">
      <c r="B11" s="24" t="s">
        <v>129</v>
      </c>
      <c r="C11" s="40">
        <f>'2. Roles &amp; Rates'!D11</f>
        <v>750</v>
      </c>
      <c r="D11" s="34">
        <v>6</v>
      </c>
      <c r="E11" s="34">
        <v>6</v>
      </c>
      <c r="F11" s="34">
        <v>6</v>
      </c>
      <c r="G11" s="34">
        <v>6</v>
      </c>
      <c r="H11" s="34">
        <v>6</v>
      </c>
      <c r="I11" s="46">
        <f t="shared" si="0"/>
        <v>30</v>
      </c>
      <c r="J11" s="27" t="s">
        <v>212</v>
      </c>
    </row>
    <row r="12" spans="2:10" ht="24" customHeight="1" x14ac:dyDescent="0.2">
      <c r="B12" s="24" t="s">
        <v>132</v>
      </c>
      <c r="C12" s="40">
        <f>'2. Roles &amp; Rates'!D12</f>
        <v>950</v>
      </c>
      <c r="D12" s="34">
        <v>3</v>
      </c>
      <c r="E12" s="34">
        <v>3</v>
      </c>
      <c r="F12" s="34">
        <v>3</v>
      </c>
      <c r="G12" s="34">
        <v>3</v>
      </c>
      <c r="H12" s="34">
        <v>3</v>
      </c>
      <c r="I12" s="46">
        <f t="shared" si="0"/>
        <v>15</v>
      </c>
      <c r="J12" s="27" t="s">
        <v>213</v>
      </c>
    </row>
    <row r="13" spans="2:10" ht="24" customHeight="1" x14ac:dyDescent="0.2">
      <c r="B13" s="24" t="s">
        <v>134</v>
      </c>
      <c r="C13" s="40">
        <f>'2. Roles &amp; Rates'!D13</f>
        <v>700</v>
      </c>
      <c r="D13" s="34">
        <v>4</v>
      </c>
      <c r="E13" s="34">
        <v>4</v>
      </c>
      <c r="F13" s="34">
        <v>4</v>
      </c>
      <c r="G13" s="34">
        <v>4</v>
      </c>
      <c r="H13" s="34">
        <v>4</v>
      </c>
      <c r="I13" s="46">
        <f t="shared" si="0"/>
        <v>20</v>
      </c>
      <c r="J13" s="27" t="s">
        <v>214</v>
      </c>
    </row>
    <row r="14" spans="2:10" ht="24" customHeight="1" x14ac:dyDescent="0.2">
      <c r="B14" s="24" t="s">
        <v>136</v>
      </c>
      <c r="C14" s="40">
        <f>'2. Roles &amp; Rates'!D14</f>
        <v>1050</v>
      </c>
      <c r="D14" s="34">
        <v>3</v>
      </c>
      <c r="E14" s="34">
        <v>3</v>
      </c>
      <c r="F14" s="34">
        <v>4</v>
      </c>
      <c r="G14" s="34">
        <v>3</v>
      </c>
      <c r="H14" s="34">
        <v>4</v>
      </c>
      <c r="I14" s="46">
        <f t="shared" si="0"/>
        <v>17</v>
      </c>
      <c r="J14" s="27" t="s">
        <v>215</v>
      </c>
    </row>
    <row r="15" spans="2:10" ht="24" customHeight="1" x14ac:dyDescent="0.2">
      <c r="B15" s="24" t="s">
        <v>138</v>
      </c>
      <c r="C15" s="40">
        <f>'2. Roles &amp; Rates'!D15</f>
        <v>600</v>
      </c>
      <c r="D15" s="34">
        <v>3</v>
      </c>
      <c r="E15" s="34">
        <v>3</v>
      </c>
      <c r="F15" s="34">
        <v>3</v>
      </c>
      <c r="G15" s="34">
        <v>3</v>
      </c>
      <c r="H15" s="34">
        <v>3</v>
      </c>
      <c r="I15" s="46">
        <f t="shared" si="0"/>
        <v>15</v>
      </c>
      <c r="J15" s="27" t="s">
        <v>216</v>
      </c>
    </row>
    <row r="16" spans="2:10" x14ac:dyDescent="0.2">
      <c r="B16" s="37" t="s">
        <v>217</v>
      </c>
      <c r="D16" s="46">
        <f t="shared" ref="D16:I16" si="1">SUM(D6:D15)</f>
        <v>50</v>
      </c>
      <c r="E16" s="46">
        <f t="shared" si="1"/>
        <v>50</v>
      </c>
      <c r="F16" s="46">
        <f t="shared" si="1"/>
        <v>49</v>
      </c>
      <c r="G16" s="46">
        <f t="shared" si="1"/>
        <v>44</v>
      </c>
      <c r="H16" s="46">
        <f t="shared" si="1"/>
        <v>42</v>
      </c>
      <c r="I16" s="46">
        <f t="shared" si="1"/>
        <v>235</v>
      </c>
    </row>
    <row r="18" spans="2:9" ht="16" x14ac:dyDescent="0.2">
      <c r="B18" s="22" t="s">
        <v>218</v>
      </c>
    </row>
    <row r="19" spans="2:9" ht="45" x14ac:dyDescent="0.2">
      <c r="B19" s="23" t="s">
        <v>219</v>
      </c>
      <c r="C19" s="23" t="s">
        <v>201</v>
      </c>
      <c r="D19" s="23" t="s">
        <v>202</v>
      </c>
      <c r="E19" s="23" t="s">
        <v>203</v>
      </c>
      <c r="F19" s="23" t="s">
        <v>204</v>
      </c>
      <c r="G19" s="23" t="s">
        <v>205</v>
      </c>
      <c r="H19" s="23" t="s">
        <v>220</v>
      </c>
    </row>
    <row r="20" spans="2:9" ht="16" x14ac:dyDescent="0.2">
      <c r="B20" s="24" t="s">
        <v>221</v>
      </c>
      <c r="D20" s="41">
        <f>(D6*$C6+D7*$C7+D8*$C8+D9*$C9+D10*$C10+D11*$C11+D12*$C12+D13*$C13+D14*$C14+D15*$C15)*'1. Cover &amp; Assumptions'!$C$25</f>
        <v>219500</v>
      </c>
      <c r="E20" s="41">
        <f>(E6*$C6+E7*$C7+E8*$C8+E9*$C9+E10*$C10+E11*$C11+E12*$C12+E13*$C13+E14*$C14+E15*$C15)*'1. Cover &amp; Assumptions'!$C$25</f>
        <v>218500</v>
      </c>
      <c r="F20" s="41">
        <f>(F6*$C6+F7*$C7+F8*$C8+F9*$C9+F10*$C10+F11*$C11+F12*$C12+F13*$C13+F14*$C14+F15*$C15)*'1. Cover &amp; Assumptions'!$C$25</f>
        <v>216250</v>
      </c>
      <c r="G20" s="41">
        <f>(G6*$C6+G7*$C7+G8*$C8+G9*$C9+G10*$C10+G11*$C11+G12*$C12+G13*$C13+G14*$C14+G15*$C15)*'1. Cover &amp; Assumptions'!$C$25</f>
        <v>193000</v>
      </c>
      <c r="H20" s="41">
        <f>(H6*$C6+H7*$C7+H8*$C8+H9*$C9+H10*$C10+H11*$C11+H12*$C12+H13*$C13+H14*$C14+H15*$C15)*'1. Cover &amp; Assumptions'!$C$25</f>
        <v>184250</v>
      </c>
      <c r="I20" s="44">
        <f>SUM(D20:H20)</f>
        <v>1031500</v>
      </c>
    </row>
    <row r="21" spans="2:9" x14ac:dyDescent="0.2">
      <c r="B21" s="24" t="s">
        <v>222</v>
      </c>
      <c r="D21" s="40">
        <f>'5. Other Costs'!$E$18*0.3</f>
        <v>46260</v>
      </c>
      <c r="E21" s="40">
        <f>'5. Other Costs'!$E$18*0.3</f>
        <v>46260</v>
      </c>
      <c r="F21" s="40">
        <f>'5. Other Costs'!$E$18*0.3</f>
        <v>46260</v>
      </c>
      <c r="G21" s="40">
        <f>'5. Other Costs'!$E$18*0.3</f>
        <v>46260</v>
      </c>
      <c r="H21" s="40">
        <f>'5. Other Costs'!$E$18*0.3</f>
        <v>46260</v>
      </c>
      <c r="I21" s="41">
        <f>SUM(D21:H21)</f>
        <v>231300</v>
      </c>
    </row>
    <row r="22" spans="2:9" ht="16" x14ac:dyDescent="0.2">
      <c r="B22" s="37" t="s">
        <v>223</v>
      </c>
      <c r="D22" s="41">
        <f>D20+D21</f>
        <v>265760</v>
      </c>
      <c r="E22" s="41">
        <f>E20+E21</f>
        <v>264760</v>
      </c>
      <c r="F22" s="41">
        <f>F20+F21</f>
        <v>262510</v>
      </c>
      <c r="G22" s="41">
        <f>G20+G21</f>
        <v>239260</v>
      </c>
      <c r="H22" s="41">
        <f>H20+H21</f>
        <v>230510</v>
      </c>
      <c r="I22" s="44">
        <f>SUM(D22:H22)</f>
        <v>1262800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47"/>
  <sheetViews>
    <sheetView topLeftCell="A27" zoomScale="150" workbookViewId="0">
      <selection activeCell="D34" sqref="D34"/>
    </sheetView>
  </sheetViews>
  <sheetFormatPr baseColWidth="10" defaultColWidth="8.83203125" defaultRowHeight="15" x14ac:dyDescent="0.2"/>
  <cols>
    <col min="1" max="1" width="3" customWidth="1"/>
    <col min="2" max="2" width="50" customWidth="1"/>
    <col min="3" max="4" width="20" customWidth="1"/>
    <col min="5" max="5" width="60" customWidth="1"/>
  </cols>
  <sheetData>
    <row r="2" spans="2:5" ht="21" x14ac:dyDescent="0.25">
      <c r="B2" s="18" t="s">
        <v>224</v>
      </c>
    </row>
    <row r="3" spans="2:5" x14ac:dyDescent="0.2">
      <c r="B3" s="31" t="s">
        <v>225</v>
      </c>
    </row>
    <row r="5" spans="2:5" ht="16" x14ac:dyDescent="0.2">
      <c r="B5" s="22" t="s">
        <v>226</v>
      </c>
    </row>
    <row r="6" spans="2:5" x14ac:dyDescent="0.2">
      <c r="B6" s="23" t="s">
        <v>227</v>
      </c>
      <c r="C6" s="23" t="s">
        <v>228</v>
      </c>
      <c r="E6" s="23" t="s">
        <v>116</v>
      </c>
    </row>
    <row r="7" spans="2:5" x14ac:dyDescent="0.2">
      <c r="B7" s="24" t="s">
        <v>229</v>
      </c>
      <c r="C7" s="40">
        <f>'4. Phase Effort &amp; Cost'!$J$17</f>
        <v>471775</v>
      </c>
      <c r="E7" s="27" t="s">
        <v>230</v>
      </c>
    </row>
    <row r="8" spans="2:5" x14ac:dyDescent="0.2">
      <c r="B8" s="24" t="s">
        <v>231</v>
      </c>
      <c r="C8" s="40">
        <f>'5. Other Costs'!$E$18</f>
        <v>154200</v>
      </c>
      <c r="E8" s="27" t="s">
        <v>232</v>
      </c>
    </row>
    <row r="9" spans="2:5" x14ac:dyDescent="0.2">
      <c r="B9" s="24" t="s">
        <v>233</v>
      </c>
      <c r="C9" s="40">
        <f>C7+C8</f>
        <v>625975</v>
      </c>
      <c r="E9" s="27" t="s">
        <v>234</v>
      </c>
    </row>
    <row r="10" spans="2:5" x14ac:dyDescent="0.2">
      <c r="B10" s="24" t="s">
        <v>84</v>
      </c>
      <c r="C10" s="40">
        <f>C9*'1. Cover &amp; Assumptions'!$C$30</f>
        <v>62597.5</v>
      </c>
      <c r="E10" s="27" t="s">
        <v>235</v>
      </c>
    </row>
    <row r="11" spans="2:5" x14ac:dyDescent="0.2">
      <c r="B11" s="64" t="s">
        <v>236</v>
      </c>
      <c r="C11" s="65">
        <f>C9+C10</f>
        <v>688572.5</v>
      </c>
      <c r="E11" s="27" t="s">
        <v>237</v>
      </c>
    </row>
    <row r="12" spans="2:5" x14ac:dyDescent="0.2">
      <c r="B12" s="64" t="s">
        <v>238</v>
      </c>
      <c r="C12" s="65">
        <f>C11/(1-'1. Cover &amp; Assumptions'!$C$29)-C11</f>
        <v>459048.33333333349</v>
      </c>
      <c r="E12" s="27" t="s">
        <v>239</v>
      </c>
    </row>
    <row r="13" spans="2:5" ht="16" x14ac:dyDescent="0.2">
      <c r="B13" s="24" t="s">
        <v>240</v>
      </c>
      <c r="C13" s="44">
        <f>C11+C12</f>
        <v>1147620.8333333335</v>
      </c>
      <c r="E13" s="27" t="s">
        <v>241</v>
      </c>
    </row>
    <row r="14" spans="2:5" x14ac:dyDescent="0.2">
      <c r="B14" s="24" t="s">
        <v>242</v>
      </c>
      <c r="C14" s="42">
        <f>IFERROR((C13-C11)/C13,0)</f>
        <v>0.40000000000000008</v>
      </c>
      <c r="E14" s="27" t="s">
        <v>243</v>
      </c>
    </row>
    <row r="16" spans="2:5" ht="16" x14ac:dyDescent="0.2">
      <c r="B16" s="22" t="s">
        <v>244</v>
      </c>
    </row>
    <row r="17" spans="2:5" x14ac:dyDescent="0.2">
      <c r="B17" s="23" t="s">
        <v>245</v>
      </c>
      <c r="C17" s="23" t="s">
        <v>246</v>
      </c>
      <c r="D17" s="23" t="s">
        <v>247</v>
      </c>
      <c r="E17" s="23" t="s">
        <v>248</v>
      </c>
    </row>
    <row r="18" spans="2:5" x14ac:dyDescent="0.2">
      <c r="B18" s="24" t="s">
        <v>249</v>
      </c>
      <c r="C18" s="40">
        <f>'6. Wave 2-4 Build Costs'!D22</f>
        <v>265760</v>
      </c>
      <c r="D18" s="40">
        <f>C18/(1-'1. Cover &amp; Assumptions'!$C$32)-C18</f>
        <v>217439.99999999994</v>
      </c>
      <c r="E18" s="41">
        <f>C18+D18</f>
        <v>483199.99999999994</v>
      </c>
    </row>
    <row r="19" spans="2:5" x14ac:dyDescent="0.2">
      <c r="B19" s="24" t="s">
        <v>250</v>
      </c>
      <c r="C19" s="40">
        <f>'6. Wave 2-4 Build Costs'!E22</f>
        <v>264760</v>
      </c>
      <c r="D19" s="40">
        <f>C19/(1-'1. Cover &amp; Assumptions'!$C$32)-C19</f>
        <v>216621.81818181812</v>
      </c>
      <c r="E19" s="41">
        <f>C19+D19</f>
        <v>481381.81818181812</v>
      </c>
    </row>
    <row r="20" spans="2:5" x14ac:dyDescent="0.2">
      <c r="B20" s="24" t="s">
        <v>251</v>
      </c>
      <c r="C20" s="40">
        <f>'6. Wave 2-4 Build Costs'!F22</f>
        <v>262510</v>
      </c>
      <c r="D20" s="40">
        <f>C20/(1-'1. Cover &amp; Assumptions'!$C$32)-C20</f>
        <v>214780.90909090906</v>
      </c>
      <c r="E20" s="41">
        <f>C20+D20</f>
        <v>477290.90909090906</v>
      </c>
    </row>
    <row r="21" spans="2:5" x14ac:dyDescent="0.2">
      <c r="B21" s="24" t="s">
        <v>252</v>
      </c>
      <c r="C21" s="40">
        <f>'6. Wave 2-4 Build Costs'!G22</f>
        <v>239260</v>
      </c>
      <c r="D21" s="40">
        <f>C21/(1-'1. Cover &amp; Assumptions'!$C$32)-C21</f>
        <v>195758.18181818177</v>
      </c>
      <c r="E21" s="41">
        <f>C21+D21</f>
        <v>435018.18181818177</v>
      </c>
    </row>
    <row r="22" spans="2:5" x14ac:dyDescent="0.2">
      <c r="B22" s="24" t="s">
        <v>253</v>
      </c>
      <c r="C22" s="40">
        <f>'6. Wave 2-4 Build Costs'!H22</f>
        <v>230510</v>
      </c>
      <c r="D22" s="40">
        <f>C22/(1-'1. Cover &amp; Assumptions'!$C$32)-C22</f>
        <v>188599.09090909088</v>
      </c>
      <c r="E22" s="41">
        <f>C22+D22</f>
        <v>419109.09090909088</v>
      </c>
    </row>
    <row r="23" spans="2:5" ht="16" x14ac:dyDescent="0.2">
      <c r="B23" s="37" t="s">
        <v>254</v>
      </c>
      <c r="C23" s="41">
        <f>SUM(C18:C22)</f>
        <v>1262800</v>
      </c>
      <c r="D23" s="41">
        <f>SUM(D18:D22)</f>
        <v>1033199.9999999998</v>
      </c>
      <c r="E23" s="44">
        <f>SUM(E18:E22)</f>
        <v>2295999.9999999995</v>
      </c>
    </row>
    <row r="25" spans="2:5" ht="16" x14ac:dyDescent="0.2">
      <c r="B25" s="22" t="s">
        <v>255</v>
      </c>
    </row>
    <row r="26" spans="2:5" x14ac:dyDescent="0.2">
      <c r="B26" s="23" t="s">
        <v>227</v>
      </c>
      <c r="C26" s="23" t="s">
        <v>228</v>
      </c>
      <c r="E26" s="23" t="s">
        <v>116</v>
      </c>
    </row>
    <row r="27" spans="2:5" x14ac:dyDescent="0.2">
      <c r="B27" s="24" t="s">
        <v>256</v>
      </c>
      <c r="C27" s="40">
        <f>C13</f>
        <v>1147620.8333333335</v>
      </c>
      <c r="E27" s="27" t="s">
        <v>257</v>
      </c>
    </row>
    <row r="28" spans="2:5" x14ac:dyDescent="0.2">
      <c r="B28" s="24" t="s">
        <v>258</v>
      </c>
      <c r="C28" s="40">
        <f>E23</f>
        <v>2295999.9999999995</v>
      </c>
      <c r="E28" s="27" t="s">
        <v>259</v>
      </c>
    </row>
    <row r="29" spans="2:5" ht="17" x14ac:dyDescent="0.2">
      <c r="B29" s="24" t="s">
        <v>12</v>
      </c>
      <c r="C29" s="47">
        <f>C27+C28</f>
        <v>3443620.833333333</v>
      </c>
      <c r="E29" s="27" t="s">
        <v>260</v>
      </c>
    </row>
    <row r="30" spans="2:5" x14ac:dyDescent="0.2">
      <c r="B30" s="24" t="s">
        <v>261</v>
      </c>
      <c r="C30" s="40">
        <f>C11*'1. Cover &amp; Assumptions'!$C$31</f>
        <v>34428.625</v>
      </c>
      <c r="E30" s="27" t="s">
        <v>262</v>
      </c>
    </row>
    <row r="33" spans="2:5" ht="16" x14ac:dyDescent="0.2">
      <c r="B33" s="22" t="s">
        <v>263</v>
      </c>
    </row>
    <row r="34" spans="2:5" x14ac:dyDescent="0.2">
      <c r="B34" s="23" t="s">
        <v>264</v>
      </c>
      <c r="C34" s="23" t="s">
        <v>228</v>
      </c>
      <c r="E34" s="23" t="s">
        <v>116</v>
      </c>
    </row>
    <row r="35" spans="2:5" x14ac:dyDescent="0.2">
      <c r="B35" s="24" t="s">
        <v>265</v>
      </c>
      <c r="C35" s="40">
        <f>C13</f>
        <v>1147620.8333333335</v>
      </c>
      <c r="E35" s="27" t="s">
        <v>266</v>
      </c>
    </row>
    <row r="36" spans="2:5" x14ac:dyDescent="0.2">
      <c r="B36" s="24" t="s">
        <v>267</v>
      </c>
      <c r="C36" s="32">
        <v>150000</v>
      </c>
      <c r="E36" s="27" t="s">
        <v>268</v>
      </c>
    </row>
    <row r="37" spans="2:5" x14ac:dyDescent="0.2">
      <c r="B37" s="24" t="s">
        <v>269</v>
      </c>
      <c r="C37" s="32">
        <v>250000</v>
      </c>
      <c r="E37" s="27" t="s">
        <v>270</v>
      </c>
    </row>
    <row r="38" spans="2:5" x14ac:dyDescent="0.2">
      <c r="B38" s="24" t="s">
        <v>271</v>
      </c>
      <c r="C38" s="40">
        <f>C36-'7. Pricing Summary'!$C$11</f>
        <v>-538572.5</v>
      </c>
      <c r="E38" s="27" t="s">
        <v>272</v>
      </c>
    </row>
    <row r="39" spans="2:5" x14ac:dyDescent="0.2">
      <c r="B39" s="24" t="s">
        <v>273</v>
      </c>
      <c r="C39" s="40">
        <f>C37-'7. Pricing Summary'!$C$11</f>
        <v>-438572.5</v>
      </c>
      <c r="E39" s="27" t="s">
        <v>274</v>
      </c>
    </row>
    <row r="40" spans="2:5" ht="30" x14ac:dyDescent="0.2">
      <c r="B40" s="24" t="s">
        <v>275</v>
      </c>
      <c r="C40" s="48">
        <f>IFERROR(('7. Pricing Summary'!$C$11-C37)/(('8. Revenue Share Model'!$C$12+'8. Revenue Share Model'!$D$12+'8. Revenue Share Model'!$E$12)/3),0)</f>
        <v>2.15779827798278</v>
      </c>
      <c r="E40" s="27" t="s">
        <v>276</v>
      </c>
    </row>
    <row r="43" spans="2:5" ht="16" x14ac:dyDescent="0.2">
      <c r="B43" s="22" t="s">
        <v>277</v>
      </c>
    </row>
    <row r="44" spans="2:5" x14ac:dyDescent="0.2">
      <c r="B44" s="23" t="s">
        <v>278</v>
      </c>
      <c r="C44" s="23" t="s">
        <v>279</v>
      </c>
      <c r="D44" s="23" t="s">
        <v>32</v>
      </c>
      <c r="E44" s="23" t="s">
        <v>116</v>
      </c>
    </row>
    <row r="45" spans="2:5" ht="30" x14ac:dyDescent="0.2">
      <c r="B45" s="24" t="s">
        <v>280</v>
      </c>
      <c r="C45" s="40">
        <f>C13</f>
        <v>1147620.8333333335</v>
      </c>
      <c r="D45" s="30">
        <v>0.1</v>
      </c>
      <c r="E45" s="27" t="s">
        <v>281</v>
      </c>
    </row>
    <row r="46" spans="2:5" ht="30" x14ac:dyDescent="0.2">
      <c r="B46" s="24" t="s">
        <v>282</v>
      </c>
      <c r="C46" s="32">
        <v>500000</v>
      </c>
      <c r="D46" s="30">
        <v>0.18</v>
      </c>
      <c r="E46" s="27" t="s">
        <v>283</v>
      </c>
    </row>
    <row r="47" spans="2:5" ht="30" x14ac:dyDescent="0.2">
      <c r="B47" s="24" t="s">
        <v>284</v>
      </c>
      <c r="C47" s="32">
        <v>250000</v>
      </c>
      <c r="D47" s="30">
        <v>0.2</v>
      </c>
      <c r="E47" s="27" t="s">
        <v>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28"/>
  <sheetViews>
    <sheetView topLeftCell="A11" zoomScale="136" workbookViewId="0">
      <selection activeCell="G23" sqref="G23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5" width="16" customWidth="1"/>
    <col min="6" max="6" width="18" customWidth="1"/>
    <col min="7" max="7" width="50" customWidth="1"/>
  </cols>
  <sheetData>
    <row r="2" spans="2:6" ht="21" x14ac:dyDescent="0.25">
      <c r="B2" s="18" t="s">
        <v>286</v>
      </c>
    </row>
    <row r="3" spans="2:6" x14ac:dyDescent="0.2">
      <c r="B3" s="31" t="s">
        <v>287</v>
      </c>
    </row>
    <row r="5" spans="2:6" ht="16" x14ac:dyDescent="0.2">
      <c r="B5" s="22" t="s">
        <v>288</v>
      </c>
    </row>
    <row r="6" spans="2:6" x14ac:dyDescent="0.2">
      <c r="B6" s="23" t="s">
        <v>289</v>
      </c>
      <c r="C6" s="23" t="s">
        <v>16</v>
      </c>
      <c r="D6" s="23" t="s">
        <v>17</v>
      </c>
      <c r="E6" s="23" t="s">
        <v>18</v>
      </c>
      <c r="F6" s="23" t="s">
        <v>116</v>
      </c>
    </row>
    <row r="7" spans="2:6" ht="45" x14ac:dyDescent="0.2">
      <c r="B7" s="24" t="s">
        <v>290</v>
      </c>
      <c r="C7" s="25">
        <v>750</v>
      </c>
      <c r="D7" s="25">
        <v>2250</v>
      </c>
      <c r="E7" s="25">
        <v>4000</v>
      </c>
      <c r="F7" s="27" t="s">
        <v>291</v>
      </c>
    </row>
    <row r="8" spans="2:6" ht="45" x14ac:dyDescent="0.2">
      <c r="B8" s="24" t="s">
        <v>292</v>
      </c>
      <c r="C8" s="25">
        <v>375</v>
      </c>
      <c r="D8" s="25">
        <v>1500</v>
      </c>
      <c r="E8" s="25">
        <v>3125</v>
      </c>
      <c r="F8" s="27" t="s">
        <v>293</v>
      </c>
    </row>
    <row r="9" spans="2:6" ht="60" x14ac:dyDescent="0.2">
      <c r="B9" s="24" t="s">
        <v>294</v>
      </c>
      <c r="C9" s="25">
        <v>60</v>
      </c>
      <c r="D9" s="25">
        <v>65</v>
      </c>
      <c r="E9" s="25">
        <v>70</v>
      </c>
      <c r="F9" s="27" t="s">
        <v>295</v>
      </c>
    </row>
    <row r="10" spans="2:6" ht="30" x14ac:dyDescent="0.2">
      <c r="B10" s="37" t="s">
        <v>296</v>
      </c>
      <c r="C10" s="41">
        <f>C8*C9*12</f>
        <v>270000</v>
      </c>
      <c r="D10" s="41">
        <f>D8*D9*12</f>
        <v>1170000</v>
      </c>
      <c r="E10" s="41">
        <f>E8*E9*12</f>
        <v>2625000</v>
      </c>
      <c r="F10" s="27" t="s">
        <v>297</v>
      </c>
    </row>
    <row r="11" spans="2:6" ht="45" x14ac:dyDescent="0.2">
      <c r="B11" s="24" t="s">
        <v>96</v>
      </c>
      <c r="C11" s="42">
        <f>'1. Cover &amp; Assumptions'!$C$35</f>
        <v>0.15</v>
      </c>
      <c r="D11" s="42">
        <f>'1. Cover &amp; Assumptions'!$C$35</f>
        <v>0.15</v>
      </c>
      <c r="E11" s="42">
        <f>'1. Cover &amp; Assumptions'!$C$35</f>
        <v>0.15</v>
      </c>
      <c r="F11" s="27" t="s">
        <v>298</v>
      </c>
    </row>
    <row r="12" spans="2:6" x14ac:dyDescent="0.2">
      <c r="B12" s="37" t="s">
        <v>299</v>
      </c>
      <c r="C12" s="41">
        <f>C10*C11</f>
        <v>40500</v>
      </c>
      <c r="D12" s="41">
        <f>D10*D11</f>
        <v>175500</v>
      </c>
      <c r="E12" s="41">
        <f>E10*E11</f>
        <v>393750</v>
      </c>
    </row>
    <row r="14" spans="2:6" ht="16" x14ac:dyDescent="0.2">
      <c r="B14" s="22" t="s">
        <v>300</v>
      </c>
    </row>
    <row r="15" spans="2:6" x14ac:dyDescent="0.2">
      <c r="B15" s="23" t="s">
        <v>219</v>
      </c>
      <c r="C15" s="23" t="s">
        <v>16</v>
      </c>
      <c r="D15" s="23" t="s">
        <v>17</v>
      </c>
      <c r="E15" s="23" t="s">
        <v>18</v>
      </c>
      <c r="F15" s="23" t="s">
        <v>116</v>
      </c>
    </row>
    <row r="16" spans="2:6" ht="30" x14ac:dyDescent="0.2">
      <c r="B16" s="24" t="s">
        <v>301</v>
      </c>
      <c r="C16" s="40">
        <f>'7. Pricing Summary'!$C$13</f>
        <v>1147620.8333333335</v>
      </c>
      <c r="D16" s="40">
        <v>0</v>
      </c>
      <c r="E16" s="40">
        <v>0</v>
      </c>
      <c r="F16" s="27" t="s">
        <v>302</v>
      </c>
    </row>
    <row r="17" spans="2:6" ht="30" x14ac:dyDescent="0.2">
      <c r="B17" s="24" t="s">
        <v>303</v>
      </c>
      <c r="C17" s="40">
        <f>0.5*'7. Pricing Summary'!$E$18</f>
        <v>241599.99999999997</v>
      </c>
      <c r="D17" s="40">
        <f>0.5*'7. Pricing Summary'!$E$18</f>
        <v>241599.99999999997</v>
      </c>
      <c r="E17" s="40">
        <v>0</v>
      </c>
      <c r="F17" s="27" t="s">
        <v>304</v>
      </c>
    </row>
    <row r="18" spans="2:6" x14ac:dyDescent="0.2">
      <c r="B18" s="24" t="s">
        <v>305</v>
      </c>
      <c r="C18" s="40">
        <f>0.5*'7. Pricing Summary'!$E$19</f>
        <v>240690.90909090906</v>
      </c>
      <c r="D18" s="40">
        <f>0.5*'7. Pricing Summary'!$E$19</f>
        <v>240690.90909090906</v>
      </c>
      <c r="E18" s="40">
        <v>0</v>
      </c>
      <c r="F18" s="27"/>
    </row>
    <row r="19" spans="2:6" x14ac:dyDescent="0.2">
      <c r="B19" s="24" t="s">
        <v>306</v>
      </c>
      <c r="C19" s="40">
        <v>0</v>
      </c>
      <c r="D19" s="40">
        <f>'7. Pricing Summary'!$E$20</f>
        <v>477290.90909090906</v>
      </c>
      <c r="E19" s="40">
        <v>0</v>
      </c>
      <c r="F19" s="27" t="s">
        <v>307</v>
      </c>
    </row>
    <row r="20" spans="2:6" x14ac:dyDescent="0.2">
      <c r="B20" s="24" t="s">
        <v>308</v>
      </c>
      <c r="C20" s="40">
        <v>0</v>
      </c>
      <c r="D20" s="40">
        <f>'7. Pricing Summary'!$E$21</f>
        <v>435018.18181818177</v>
      </c>
      <c r="E20" s="40">
        <v>0</v>
      </c>
      <c r="F20" s="27"/>
    </row>
    <row r="21" spans="2:6" x14ac:dyDescent="0.2">
      <c r="B21" s="24" t="s">
        <v>309</v>
      </c>
      <c r="C21" s="40">
        <v>0</v>
      </c>
      <c r="D21" s="40">
        <v>0</v>
      </c>
      <c r="E21" s="40">
        <f>'7. Pricing Summary'!$E$22</f>
        <v>419109.09090909088</v>
      </c>
      <c r="F21" s="27" t="s">
        <v>310</v>
      </c>
    </row>
    <row r="22" spans="2:6" x14ac:dyDescent="0.2">
      <c r="B22" s="37" t="s">
        <v>311</v>
      </c>
      <c r="C22" s="41">
        <f>SUM(C16:C21)</f>
        <v>1629911.7424242427</v>
      </c>
      <c r="D22" s="41">
        <f>SUM(D16:D21)</f>
        <v>1394600</v>
      </c>
      <c r="E22" s="41">
        <f>SUM(E16:E21)</f>
        <v>419109.09090909088</v>
      </c>
    </row>
    <row r="24" spans="2:6" ht="16" x14ac:dyDescent="0.2">
      <c r="B24" s="22" t="s">
        <v>312</v>
      </c>
    </row>
    <row r="25" spans="2:6" x14ac:dyDescent="0.2">
      <c r="B25" s="23" t="s">
        <v>219</v>
      </c>
      <c r="C25" s="23" t="s">
        <v>16</v>
      </c>
      <c r="D25" s="23" t="s">
        <v>17</v>
      </c>
      <c r="E25" s="23" t="s">
        <v>18</v>
      </c>
      <c r="F25" s="23" t="s">
        <v>19</v>
      </c>
    </row>
    <row r="26" spans="2:6" x14ac:dyDescent="0.2">
      <c r="B26" s="24" t="s">
        <v>313</v>
      </c>
      <c r="C26" s="40">
        <f>C12</f>
        <v>40500</v>
      </c>
      <c r="D26" s="40">
        <f>D12</f>
        <v>175500</v>
      </c>
      <c r="E26" s="40">
        <f>E12</f>
        <v>393750</v>
      </c>
      <c r="F26" s="41">
        <f>SUM(C26:E26)</f>
        <v>609750</v>
      </c>
    </row>
    <row r="27" spans="2:6" x14ac:dyDescent="0.2">
      <c r="B27" s="24" t="s">
        <v>314</v>
      </c>
      <c r="C27" s="40">
        <f>C22</f>
        <v>1629911.7424242427</v>
      </c>
      <c r="D27" s="40">
        <f>D22</f>
        <v>1394600</v>
      </c>
      <c r="E27" s="40">
        <f>E22</f>
        <v>419109.09090909088</v>
      </c>
      <c r="F27" s="41">
        <f>SUM(C27:E27)</f>
        <v>3443620.8333333335</v>
      </c>
    </row>
    <row r="28" spans="2:6" ht="17" x14ac:dyDescent="0.2">
      <c r="B28" s="37" t="s">
        <v>315</v>
      </c>
      <c r="C28" s="44">
        <f>SUM(C26:C27)</f>
        <v>1670411.7424242427</v>
      </c>
      <c r="D28" s="44">
        <f>SUM(D26:D27)</f>
        <v>1570100</v>
      </c>
      <c r="E28" s="44">
        <f>SUM(E26:E27)</f>
        <v>812859.09090909082</v>
      </c>
      <c r="F28" s="47">
        <f>SUM(C28:E28)</f>
        <v>4053370.8333333335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20"/>
  <sheetViews>
    <sheetView zoomScale="150" workbookViewId="0">
      <selection activeCell="C24" sqref="C24"/>
    </sheetView>
  </sheetViews>
  <sheetFormatPr baseColWidth="10" defaultColWidth="8.83203125" defaultRowHeight="15" x14ac:dyDescent="0.2"/>
  <cols>
    <col min="1" max="1" width="3" customWidth="1"/>
    <col min="2" max="2" width="28.6640625" customWidth="1"/>
    <col min="3" max="3" width="36" customWidth="1"/>
    <col min="4" max="5" width="14" customWidth="1"/>
    <col min="6" max="6" width="18" customWidth="1"/>
    <col min="7" max="7" width="50" customWidth="1"/>
  </cols>
  <sheetData>
    <row r="2" spans="2:7" ht="21" x14ac:dyDescent="0.25">
      <c r="B2" s="18" t="s">
        <v>316</v>
      </c>
    </row>
    <row r="3" spans="2:7" x14ac:dyDescent="0.2">
      <c r="B3" s="31" t="s">
        <v>317</v>
      </c>
    </row>
    <row r="5" spans="2:7" x14ac:dyDescent="0.2">
      <c r="B5" s="23" t="s">
        <v>318</v>
      </c>
      <c r="C5" s="23" t="s">
        <v>319</v>
      </c>
      <c r="D5" s="23" t="s">
        <v>320</v>
      </c>
      <c r="E5" s="23" t="s">
        <v>321</v>
      </c>
      <c r="F5" s="23" t="s">
        <v>322</v>
      </c>
      <c r="G5" s="23" t="s">
        <v>323</v>
      </c>
    </row>
    <row r="6" spans="2:7" ht="30" x14ac:dyDescent="0.2">
      <c r="B6" s="49">
        <v>1</v>
      </c>
      <c r="C6" s="24" t="s">
        <v>324</v>
      </c>
      <c r="D6" s="30">
        <v>0.25</v>
      </c>
      <c r="E6" s="26" t="s">
        <v>325</v>
      </c>
      <c r="F6" s="41">
        <f>D6*'7. Pricing Summary'!$C$13</f>
        <v>286905.20833333337</v>
      </c>
      <c r="G6" s="27" t="s">
        <v>326</v>
      </c>
    </row>
    <row r="7" spans="2:7" ht="30" x14ac:dyDescent="0.2">
      <c r="B7" s="49">
        <v>2</v>
      </c>
      <c r="C7" s="24" t="s">
        <v>327</v>
      </c>
      <c r="D7" s="30">
        <v>0.25</v>
      </c>
      <c r="E7" s="26" t="s">
        <v>328</v>
      </c>
      <c r="F7" s="41">
        <f>D7*'7. Pricing Summary'!$C$13</f>
        <v>286905.20833333337</v>
      </c>
      <c r="G7" s="27" t="s">
        <v>329</v>
      </c>
    </row>
    <row r="8" spans="2:7" ht="30" x14ac:dyDescent="0.2">
      <c r="B8" s="49">
        <v>3</v>
      </c>
      <c r="C8" s="24" t="s">
        <v>330</v>
      </c>
      <c r="D8" s="30">
        <v>0.3</v>
      </c>
      <c r="E8" s="26" t="s">
        <v>331</v>
      </c>
      <c r="F8" s="41">
        <f>D8*'7. Pricing Summary'!$C$13</f>
        <v>344286.25000000006</v>
      </c>
      <c r="G8" s="27" t="s">
        <v>332</v>
      </c>
    </row>
    <row r="9" spans="2:7" ht="30" x14ac:dyDescent="0.2">
      <c r="B9" s="49">
        <v>4</v>
      </c>
      <c r="C9" s="24" t="s">
        <v>333</v>
      </c>
      <c r="D9" s="30">
        <v>0.2</v>
      </c>
      <c r="E9" s="26" t="s">
        <v>334</v>
      </c>
      <c r="F9" s="41">
        <f>D9*'7. Pricing Summary'!$C$13</f>
        <v>229524.16666666672</v>
      </c>
      <c r="G9" s="27" t="s">
        <v>335</v>
      </c>
    </row>
    <row r="10" spans="2:7" ht="16" x14ac:dyDescent="0.2">
      <c r="C10" s="50" t="s">
        <v>336</v>
      </c>
      <c r="D10" s="51">
        <f>SUM(D6:D9)</f>
        <v>1</v>
      </c>
      <c r="F10" s="44">
        <f>SUM(F6:F9)</f>
        <v>1147620.8333333335</v>
      </c>
    </row>
    <row r="13" spans="2:7" ht="16" x14ac:dyDescent="0.2">
      <c r="B13" s="22" t="s">
        <v>337</v>
      </c>
    </row>
    <row r="14" spans="2:7" x14ac:dyDescent="0.2">
      <c r="B14" s="23" t="s">
        <v>219</v>
      </c>
      <c r="C14" s="23" t="s">
        <v>338</v>
      </c>
      <c r="D14" s="23" t="s">
        <v>339</v>
      </c>
      <c r="E14" s="23" t="s">
        <v>340</v>
      </c>
      <c r="F14" s="23" t="s">
        <v>341</v>
      </c>
      <c r="G14" s="23" t="s">
        <v>342</v>
      </c>
    </row>
    <row r="15" spans="2:7" x14ac:dyDescent="0.2">
      <c r="B15" s="24" t="s">
        <v>343</v>
      </c>
      <c r="C15" s="40">
        <f>F6</f>
        <v>286905.20833333337</v>
      </c>
      <c r="D15" s="40">
        <v>0</v>
      </c>
      <c r="E15" s="40">
        <f>F7</f>
        <v>286905.20833333337</v>
      </c>
      <c r="F15" s="40">
        <f>F8</f>
        <v>344286.25000000006</v>
      </c>
      <c r="G15" s="40">
        <f>F9</f>
        <v>229524.16666666672</v>
      </c>
    </row>
    <row r="16" spans="2:7" x14ac:dyDescent="0.2">
      <c r="B16" s="24" t="s">
        <v>344</v>
      </c>
      <c r="C16" s="40">
        <f>'4. Phase Effort &amp; Cost'!D17*0.5+'5. Other Costs'!$E$18*0.1</f>
        <v>38820</v>
      </c>
      <c r="D16" s="40">
        <f>'4. Phase Effort &amp; Cost'!D17*0.5+'4. Phase Effort &amp; Cost'!E17*0.7+'5. Other Costs'!$E$18*0.2</f>
        <v>128002.5</v>
      </c>
      <c r="E16" s="40">
        <f>'4. Phase Effort &amp; Cost'!E17*0.3+'4. Phase Effort &amp; Cost'!F17*0.7+'5. Other Costs'!$E$18*0.2</f>
        <v>149550</v>
      </c>
      <c r="F16" s="40">
        <f>'4. Phase Effort &amp; Cost'!F17*0.3+'4. Phase Effort &amp; Cost'!G17+'4. Phase Effort &amp; Cost'!H17*0.5+'5. Other Costs'!$E$18*0.3</f>
        <v>192962.5</v>
      </c>
      <c r="G16" s="40">
        <f>'4. Phase Effort &amp; Cost'!H17*0.5+'4. Phase Effort &amp; Cost'!I17+'5. Other Costs'!$E$18*0.2</f>
        <v>116640</v>
      </c>
    </row>
    <row r="17" spans="2:7" x14ac:dyDescent="0.2">
      <c r="B17" s="37" t="s">
        <v>345</v>
      </c>
      <c r="C17" s="41">
        <f>C15-C16</f>
        <v>248085.20833333337</v>
      </c>
      <c r="D17" s="41">
        <f>D15-D16</f>
        <v>-128002.5</v>
      </c>
      <c r="E17" s="41">
        <f>E15-E16</f>
        <v>137355.20833333337</v>
      </c>
      <c r="F17" s="41">
        <f>F15-F16</f>
        <v>151323.75000000006</v>
      </c>
      <c r="G17" s="41">
        <f>G15-G16</f>
        <v>112884.16666666672</v>
      </c>
    </row>
    <row r="18" spans="2:7" x14ac:dyDescent="0.2">
      <c r="B18" s="37" t="s">
        <v>346</v>
      </c>
      <c r="C18" s="41">
        <f>C17</f>
        <v>248085.20833333337</v>
      </c>
      <c r="D18" s="41">
        <f>C18+D17</f>
        <v>120082.70833333337</v>
      </c>
      <c r="E18" s="41">
        <f>D18+E17</f>
        <v>257437.91666666674</v>
      </c>
      <c r="F18" s="41">
        <f>E18+F17</f>
        <v>408761.6666666668</v>
      </c>
      <c r="G18" s="41">
        <f>F18+G17</f>
        <v>521645.83333333349</v>
      </c>
    </row>
    <row r="20" spans="2:7" x14ac:dyDescent="0.2">
      <c r="B20" s="21" t="s">
        <v>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23"/>
  <sheetViews>
    <sheetView topLeftCell="A3" workbookViewId="0"/>
  </sheetViews>
  <sheetFormatPr baseColWidth="10" defaultColWidth="8.83203125" defaultRowHeight="15" x14ac:dyDescent="0.2"/>
  <cols>
    <col min="1" max="1" width="3" customWidth="1"/>
    <col min="2" max="2" width="38" customWidth="1"/>
    <col min="3" max="5" width="14" customWidth="1"/>
    <col min="6" max="6" width="18" customWidth="1"/>
    <col min="7" max="7" width="50" customWidth="1"/>
  </cols>
  <sheetData>
    <row r="2" spans="2:6" ht="21" x14ac:dyDescent="0.25">
      <c r="B2" s="18" t="s">
        <v>348</v>
      </c>
    </row>
    <row r="3" spans="2:6" x14ac:dyDescent="0.2">
      <c r="B3" s="31" t="s">
        <v>349</v>
      </c>
    </row>
    <row r="5" spans="2:6" ht="16" x14ac:dyDescent="0.2">
      <c r="B5" s="22" t="s">
        <v>350</v>
      </c>
    </row>
    <row r="6" spans="2:6" x14ac:dyDescent="0.2">
      <c r="B6" s="23" t="s">
        <v>351</v>
      </c>
      <c r="C6" s="23" t="s">
        <v>352</v>
      </c>
      <c r="D6" s="23" t="s">
        <v>353</v>
      </c>
      <c r="E6" s="23" t="s">
        <v>354</v>
      </c>
      <c r="F6" s="23" t="s">
        <v>116</v>
      </c>
    </row>
    <row r="7" spans="2:6" ht="30" x14ac:dyDescent="0.2">
      <c r="B7" s="24" t="s">
        <v>355</v>
      </c>
      <c r="C7" s="25">
        <v>250</v>
      </c>
      <c r="D7" s="25">
        <v>1000</v>
      </c>
      <c r="E7" s="25">
        <v>2000</v>
      </c>
      <c r="F7" s="27" t="s">
        <v>356</v>
      </c>
    </row>
    <row r="8" spans="2:6" x14ac:dyDescent="0.2">
      <c r="B8" s="24" t="s">
        <v>357</v>
      </c>
      <c r="C8" s="25">
        <v>375</v>
      </c>
      <c r="D8" s="25">
        <v>1500</v>
      </c>
      <c r="E8" s="25">
        <v>3125</v>
      </c>
      <c r="F8" s="27" t="s">
        <v>358</v>
      </c>
    </row>
    <row r="9" spans="2:6" ht="30" x14ac:dyDescent="0.2">
      <c r="B9" s="24" t="s">
        <v>359</v>
      </c>
      <c r="C9" s="25">
        <v>500</v>
      </c>
      <c r="D9" s="25">
        <v>2000</v>
      </c>
      <c r="E9" s="25">
        <v>4500</v>
      </c>
      <c r="F9" s="27" t="s">
        <v>360</v>
      </c>
    </row>
    <row r="11" spans="2:6" x14ac:dyDescent="0.2">
      <c r="B11" s="24" t="s">
        <v>361</v>
      </c>
      <c r="C11" s="32">
        <v>65</v>
      </c>
      <c r="F11" s="21" t="s">
        <v>362</v>
      </c>
    </row>
    <row r="13" spans="2:6" ht="16" x14ac:dyDescent="0.2">
      <c r="B13" s="22" t="s">
        <v>363</v>
      </c>
    </row>
    <row r="14" spans="2:6" x14ac:dyDescent="0.2">
      <c r="B14" s="23" t="s">
        <v>364</v>
      </c>
      <c r="C14" s="23" t="s">
        <v>365</v>
      </c>
      <c r="D14" s="23" t="s">
        <v>366</v>
      </c>
      <c r="E14" s="23" t="s">
        <v>367</v>
      </c>
      <c r="F14" s="23" t="s">
        <v>116</v>
      </c>
    </row>
    <row r="15" spans="2:6" ht="45" x14ac:dyDescent="0.2">
      <c r="B15" s="24" t="s">
        <v>355</v>
      </c>
      <c r="C15" s="41">
        <f>(C7+D7+E7)*$C$11*12*0.1</f>
        <v>253500</v>
      </c>
      <c r="D15" s="41">
        <f>(C7+D7+E7)*$C$11*12*0.15</f>
        <v>380250</v>
      </c>
      <c r="E15" s="41">
        <f>(C7+D7+E7)*$C$11*12*0.2</f>
        <v>507000</v>
      </c>
      <c r="F15" s="27" t="s">
        <v>368</v>
      </c>
    </row>
    <row r="16" spans="2:6" ht="45" x14ac:dyDescent="0.2">
      <c r="B16" s="24" t="s">
        <v>357</v>
      </c>
      <c r="C16" s="41">
        <f>(C8+D8+E8)*$C$11*12*0.1</f>
        <v>390000</v>
      </c>
      <c r="D16" s="41">
        <f>(C8+D8+E8)*$C$11*12*0.15</f>
        <v>585000</v>
      </c>
      <c r="E16" s="41">
        <f>(C8+D8+E8)*$C$11*12*0.2</f>
        <v>780000</v>
      </c>
      <c r="F16" s="27" t="s">
        <v>368</v>
      </c>
    </row>
    <row r="17" spans="2:6" ht="45" x14ac:dyDescent="0.2">
      <c r="B17" s="24" t="s">
        <v>359</v>
      </c>
      <c r="C17" s="41">
        <f>(C9+D9+E9)*$C$11*12*0.1</f>
        <v>546000</v>
      </c>
      <c r="D17" s="41">
        <f>(C9+D9+E9)*$C$11*12*0.15</f>
        <v>819000</v>
      </c>
      <c r="E17" s="41">
        <f>(C9+D9+E9)*$C$11*12*0.2</f>
        <v>1092000</v>
      </c>
      <c r="F17" s="27" t="s">
        <v>368</v>
      </c>
    </row>
    <row r="19" spans="2:6" ht="16" x14ac:dyDescent="0.2">
      <c r="B19" s="22" t="s">
        <v>369</v>
      </c>
    </row>
    <row r="20" spans="2:6" x14ac:dyDescent="0.2">
      <c r="B20" s="23" t="s">
        <v>364</v>
      </c>
      <c r="C20" s="23" t="s">
        <v>365</v>
      </c>
      <c r="D20" s="23" t="s">
        <v>366</v>
      </c>
      <c r="E20" s="23" t="s">
        <v>367</v>
      </c>
      <c r="F20" s="23" t="s">
        <v>116</v>
      </c>
    </row>
    <row r="21" spans="2:6" ht="60" x14ac:dyDescent="0.2">
      <c r="B21" s="24" t="s">
        <v>355</v>
      </c>
      <c r="C21" s="41">
        <f>'7. Pricing Summary'!$C$29+C15</f>
        <v>3697120.833333333</v>
      </c>
      <c r="D21" s="41">
        <f>'7. Pricing Summary'!$C$29+D15</f>
        <v>3823870.833333333</v>
      </c>
      <c r="E21" s="41">
        <f>'7. Pricing Summary'!$C$29+E15</f>
        <v>3950620.833333333</v>
      </c>
      <c r="F21" s="27" t="s">
        <v>370</v>
      </c>
    </row>
    <row r="22" spans="2:6" ht="60" x14ac:dyDescent="0.2">
      <c r="B22" s="24" t="s">
        <v>357</v>
      </c>
      <c r="C22" s="41">
        <f>'7. Pricing Summary'!$C$29+C16</f>
        <v>3833620.833333333</v>
      </c>
      <c r="D22" s="41">
        <f>'7. Pricing Summary'!$C$29+D16</f>
        <v>4028620.833333333</v>
      </c>
      <c r="E22" s="41">
        <f>'7. Pricing Summary'!$C$29+E16</f>
        <v>4223620.833333333</v>
      </c>
      <c r="F22" s="27" t="s">
        <v>370</v>
      </c>
    </row>
    <row r="23" spans="2:6" ht="60" x14ac:dyDescent="0.2">
      <c r="B23" s="24" t="s">
        <v>359</v>
      </c>
      <c r="C23" s="41">
        <f>'7. Pricing Summary'!$C$29+C17</f>
        <v>3989620.833333333</v>
      </c>
      <c r="D23" s="41">
        <f>'7. Pricing Summary'!$C$29+D17</f>
        <v>4262620.833333333</v>
      </c>
      <c r="E23" s="41">
        <f>'7. Pricing Summary'!$C$29+E17</f>
        <v>4535620.833333333</v>
      </c>
      <c r="F23" s="27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0. Executive Summary</vt:lpstr>
      <vt:lpstr>1. Cover &amp; Assumptions</vt:lpstr>
      <vt:lpstr>2. Roles &amp; Rates</vt:lpstr>
      <vt:lpstr>3. Phase Staffing</vt:lpstr>
      <vt:lpstr>4. Phase Effort &amp; Cost</vt:lpstr>
      <vt:lpstr>5. Other Costs</vt:lpstr>
      <vt:lpstr>6. Wave 2-4 Build Costs</vt:lpstr>
      <vt:lpstr>7. Pricing Summary</vt:lpstr>
      <vt:lpstr>8. Revenue Share Model</vt:lpstr>
      <vt:lpstr>9. Payment Milestones</vt:lpstr>
      <vt:lpstr>10.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 Mundi Falgueras</cp:lastModifiedBy>
  <dcterms:created xsi:type="dcterms:W3CDTF">2026-05-10T11:41:59Z</dcterms:created>
  <dcterms:modified xsi:type="dcterms:W3CDTF">2026-05-12T12:37:52Z</dcterms:modified>
</cp:coreProperties>
</file>