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aideology123.sharepoint.com/sites/Proposals/Shared Documents/ADNOC/"/>
    </mc:Choice>
  </mc:AlternateContent>
  <xr:revisionPtr revIDLastSave="189" documentId="13_ncr:1_{E84AF33C-FD64-D947-A7A2-8D049D5E084E}" xr6:coauthVersionLast="47" xr6:coauthVersionMax="47" xr10:uidLastSave="{731AF5A4-12C8-457B-9A0C-6393CDE006EE}"/>
  <bookViews>
    <workbookView xWindow="0" yWindow="740" windowWidth="29400" windowHeight="18380" tabRatio="500" firstSheet="3" activeTab="2" xr2:uid="{00000000-000D-0000-FFFF-FFFF00000000}"/>
  </bookViews>
  <sheets>
    <sheet name="1. Cover &amp; Assumptions" sheetId="1" r:id="rId1"/>
    <sheet name="2. Roles &amp; Rates" sheetId="2" r:id="rId2"/>
    <sheet name="3. Phase Staffing" sheetId="3" r:id="rId3"/>
    <sheet name="4. Phase Effort &amp; Cost" sheetId="4" r:id="rId4"/>
    <sheet name="5. Other Costs" sheetId="5" r:id="rId5"/>
    <sheet name="6. Pricing Summary" sheetId="6" r:id="rId6"/>
    <sheet name="7. Payment Milestones" sheetId="7" r:id="rId7"/>
    <sheet name="8. Sensitivit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3" l="1"/>
  <c r="I9" i="4" s="1"/>
  <c r="G9" i="3"/>
  <c r="H9" i="4" s="1"/>
  <c r="F9" i="3"/>
  <c r="G9" i="4" s="1"/>
  <c r="E9" i="3"/>
  <c r="F9" i="4" s="1"/>
  <c r="D9" i="3"/>
  <c r="E9" i="4" s="1"/>
  <c r="C9" i="3"/>
  <c r="D10" i="7"/>
  <c r="E15" i="5"/>
  <c r="C7" i="6" s="1"/>
  <c r="E14" i="5"/>
  <c r="E13" i="5"/>
  <c r="E12" i="5"/>
  <c r="E11" i="5"/>
  <c r="E10" i="5"/>
  <c r="E9" i="5"/>
  <c r="E8" i="5"/>
  <c r="E7" i="5"/>
  <c r="E6" i="5"/>
  <c r="H15" i="3"/>
  <c r="G15" i="3"/>
  <c r="F15" i="3"/>
  <c r="G15" i="4" s="1"/>
  <c r="E15" i="3"/>
  <c r="D15" i="3"/>
  <c r="E15" i="4" s="1"/>
  <c r="C15" i="3"/>
  <c r="H14" i="3"/>
  <c r="I14" i="4" s="1"/>
  <c r="G14" i="3"/>
  <c r="H14" i="4" s="1"/>
  <c r="F14" i="3"/>
  <c r="E14" i="3"/>
  <c r="D14" i="3"/>
  <c r="C14" i="3"/>
  <c r="H13" i="3"/>
  <c r="G13" i="3"/>
  <c r="H13" i="4" s="1"/>
  <c r="F13" i="3"/>
  <c r="G13" i="4" s="1"/>
  <c r="E13" i="3"/>
  <c r="D13" i="3"/>
  <c r="E13" i="4" s="1"/>
  <c r="C13" i="3"/>
  <c r="D13" i="4" s="1"/>
  <c r="H12" i="3"/>
  <c r="G12" i="3"/>
  <c r="H12" i="4" s="1"/>
  <c r="F12" i="3"/>
  <c r="G12" i="4" s="1"/>
  <c r="E12" i="3"/>
  <c r="D12" i="3"/>
  <c r="E12" i="4" s="1"/>
  <c r="C12" i="3"/>
  <c r="D12" i="4" s="1"/>
  <c r="H11" i="3"/>
  <c r="G11" i="3"/>
  <c r="F11" i="3"/>
  <c r="E11" i="3"/>
  <c r="D11" i="3"/>
  <c r="C11" i="3"/>
  <c r="H10" i="3"/>
  <c r="G10" i="3"/>
  <c r="F10" i="3"/>
  <c r="E10" i="3"/>
  <c r="F10" i="4" s="1"/>
  <c r="D10" i="3"/>
  <c r="E10" i="4" s="1"/>
  <c r="C10" i="3"/>
  <c r="D10" i="4" s="1"/>
  <c r="H8" i="3"/>
  <c r="G8" i="3"/>
  <c r="F8" i="3"/>
  <c r="E8" i="3"/>
  <c r="F8" i="4" s="1"/>
  <c r="D8" i="3"/>
  <c r="C8" i="3"/>
  <c r="H7" i="3"/>
  <c r="G7" i="3"/>
  <c r="F7" i="3"/>
  <c r="E7" i="3"/>
  <c r="D7" i="3"/>
  <c r="E7" i="4" s="1"/>
  <c r="C7" i="3"/>
  <c r="D9" i="4" l="1"/>
  <c r="I9" i="3"/>
  <c r="F12" i="4"/>
  <c r="G11" i="4"/>
  <c r="I13" i="4"/>
  <c r="F13" i="4"/>
  <c r="E16" i="3"/>
  <c r="I8" i="4"/>
  <c r="I7" i="3"/>
  <c r="F7" i="4"/>
  <c r="F14" i="4"/>
  <c r="I8" i="3"/>
  <c r="I13" i="3"/>
  <c r="H7" i="4"/>
  <c r="G14" i="4"/>
  <c r="I14" i="3"/>
  <c r="I7" i="4"/>
  <c r="D16" i="3"/>
  <c r="D8" i="4"/>
  <c r="I15" i="3"/>
  <c r="F16" i="3"/>
  <c r="H8" i="4"/>
  <c r="E14" i="4"/>
  <c r="F15" i="4"/>
  <c r="H10" i="4"/>
  <c r="I11" i="3"/>
  <c r="J9" i="4"/>
  <c r="I10" i="4"/>
  <c r="G10" i="4"/>
  <c r="I12" i="3"/>
  <c r="H16" i="3"/>
  <c r="D7" i="4"/>
  <c r="C16" i="3"/>
  <c r="D11" i="4"/>
  <c r="E8" i="4"/>
  <c r="E11" i="4"/>
  <c r="H11" i="4"/>
  <c r="I12" i="4"/>
  <c r="D15" i="4"/>
  <c r="G16" i="3"/>
  <c r="H15" i="4"/>
  <c r="I10" i="3"/>
  <c r="I15" i="4"/>
  <c r="F11" i="4"/>
  <c r="G7" i="4"/>
  <c r="G8" i="4"/>
  <c r="I11" i="4"/>
  <c r="D14" i="4"/>
  <c r="J13" i="4" l="1"/>
  <c r="J12" i="4"/>
  <c r="I16" i="4"/>
  <c r="J15" i="4"/>
  <c r="F16" i="4"/>
  <c r="E17" i="7" s="1"/>
  <c r="E18" i="7" s="1"/>
  <c r="J10" i="4"/>
  <c r="H16" i="4"/>
  <c r="J14" i="4"/>
  <c r="E16" i="4"/>
  <c r="J11" i="4"/>
  <c r="I16" i="3"/>
  <c r="G16" i="4"/>
  <c r="D16" i="4"/>
  <c r="D17" i="7" s="1"/>
  <c r="J7" i="4"/>
  <c r="J8" i="4"/>
  <c r="G17" i="7" l="1"/>
  <c r="F17" i="7"/>
  <c r="J16" i="4"/>
  <c r="K8" i="4" s="1"/>
  <c r="K7" i="4" l="1"/>
  <c r="K11" i="4"/>
  <c r="D6" i="8"/>
  <c r="F6" i="8" s="1"/>
  <c r="C12" i="8" s="1"/>
  <c r="D7" i="8"/>
  <c r="F7" i="8" s="1"/>
  <c r="C13" i="8" s="1"/>
  <c r="K16" i="4"/>
  <c r="C6" i="6"/>
  <c r="C8" i="6" s="1"/>
  <c r="D8" i="8"/>
  <c r="F8" i="8" s="1"/>
  <c r="C14" i="8" s="1"/>
  <c r="K10" i="4"/>
  <c r="K13" i="4"/>
  <c r="K12" i="4"/>
  <c r="K14" i="4"/>
  <c r="K9" i="4"/>
  <c r="K15" i="4"/>
  <c r="D14" i="8" l="1"/>
  <c r="E14" i="8" s="1"/>
  <c r="D13" i="8"/>
  <c r="E13" i="8" s="1"/>
  <c r="C9" i="6"/>
  <c r="C10" i="6" s="1"/>
  <c r="D12" i="8"/>
  <c r="E12" i="8" s="1"/>
  <c r="C11" i="6" l="1"/>
  <c r="C12" i="6" s="1"/>
  <c r="F12" i="8" s="1"/>
  <c r="C18" i="6"/>
  <c r="F7" i="7" l="1"/>
  <c r="D16" i="7" s="1"/>
  <c r="D18" i="7" s="1"/>
  <c r="C19" i="6"/>
  <c r="F6" i="7"/>
  <c r="F8" i="7"/>
  <c r="F16" i="7" s="1"/>
  <c r="F18" i="7" s="1"/>
  <c r="F9" i="7"/>
  <c r="G16" i="7" s="1"/>
  <c r="G18" i="7" s="1"/>
  <c r="C15" i="6"/>
  <c r="C16" i="6" s="1"/>
  <c r="C13" i="6"/>
  <c r="F14" i="8"/>
  <c r="F13" i="8"/>
  <c r="F10" i="7" l="1"/>
  <c r="C16" i="7"/>
  <c r="C18" i="7" s="1"/>
  <c r="C19" i="7" s="1"/>
  <c r="D19" i="7" s="1"/>
  <c r="E19" i="7" s="1"/>
  <c r="F19" i="7" s="1"/>
  <c r="G19" i="7" s="1"/>
</calcChain>
</file>

<file path=xl/sharedStrings.xml><?xml version="1.0" encoding="utf-8"?>
<sst xmlns="http://schemas.openxmlformats.org/spreadsheetml/2006/main" count="299" uniqueCount="214">
  <si>
    <t>AIdeology — Internal Pricing &amp; Staffing Analysis</t>
  </si>
  <si>
    <t>ADNOC Loyalty AI Programme · Subcontract to HPE · v0.1 DRAFT</t>
  </si>
  <si>
    <t>INTERNAL — NOT FOR HPE OR ADNOC. Pricing model for AIdeology team only.</t>
  </si>
  <si>
    <t>Date: 2026-04-30</t>
  </si>
  <si>
    <t>How to use this workbook</t>
  </si>
  <si>
    <t>• All blue-text cells are editable inputs (rates, allocations, durations, margins).</t>
  </si>
  <si>
    <t>• All yellow-highlighted cells are key assumptions to confirm before sending pricing to HPE.</t>
  </si>
  <si>
    <t>• All black-text cells are calculated formulas — do not overwrite.</t>
  </si>
  <si>
    <t>• Green-text cells are links to other sheets in this workbook.</t>
  </si>
  <si>
    <t>• Sheet 2: Roles &amp; Rates — adjust daily costs and bill rates here.</t>
  </si>
  <si>
    <t>• Sheet 3: Phase Staffing — adjust headcount and allocation % per phase.</t>
  </si>
  <si>
    <t>• Sheet 4: Phase Effort &amp; Cost — calculated from staffing × rates.</t>
  </si>
  <si>
    <t>• Sheet 5: Other Costs — software, cloud, contingency.</t>
  </si>
  <si>
    <t>• Sheet 6: Pricing Summary — adds AIdeology margin to derive Price to HPE.</t>
  </si>
  <si>
    <t>• Sheet 7: Payment Milestones — 4-payment schedule tied to SOW deliverables.</t>
  </si>
  <si>
    <t>• Sheet 8: Sensitivity — scenarios at 10k / 25k / 50k concurrency.</t>
  </si>
  <si>
    <t>Global assumptions</t>
  </si>
  <si>
    <t>Assumption</t>
  </si>
  <si>
    <t>Value</t>
  </si>
  <si>
    <t>Unit</t>
  </si>
  <si>
    <t>Notes / source</t>
  </si>
  <si>
    <t>Programme duration</t>
  </si>
  <si>
    <t>weeks</t>
  </si>
  <si>
    <t>Per SOW §5.1 — 3–4 month delivery, single-phase on-prem.</t>
  </si>
  <si>
    <t>Working days per week</t>
  </si>
  <si>
    <t>days</t>
  </si>
  <si>
    <t>Standard.</t>
  </si>
  <si>
    <t>Hours per working day</t>
  </si>
  <si>
    <t>hours</t>
  </si>
  <si>
    <t>Currency</t>
  </si>
  <si>
    <t>USD</t>
  </si>
  <si>
    <t>—</t>
  </si>
  <si>
    <t>Internal model; final pricing to HPE may be issued in AED or USD.</t>
  </si>
  <si>
    <t>FX assumption (USD→AED)</t>
  </si>
  <si>
    <t>rate</t>
  </si>
  <si>
    <t>Pegged.</t>
  </si>
  <si>
    <t>AIdeology target gross margin</t>
  </si>
  <si>
    <t>%</t>
  </si>
  <si>
    <t>Target margin on cost before HPE markup. Adjust for win-rate.</t>
  </si>
  <si>
    <t>Contingency on direct cost</t>
  </si>
  <si>
    <t>Buffer for unknowns (sandbox slip, pen-test rework, etc.).</t>
  </si>
  <si>
    <t>Risk reserve (held back)</t>
  </si>
  <si>
    <t>Held internally; not in price to HPE.</t>
  </si>
  <si>
    <t>HPE markup (illustrative)</t>
  </si>
  <si>
    <t>ILLUSTRATIVE only — HPE sets its own markup. Not in our pricing.</t>
  </si>
  <si>
    <t>Concurrency baseline</t>
  </si>
  <si>
    <t>25k</t>
  </si>
  <si>
    <t>scenario</t>
  </si>
  <si>
    <t>Mid scenario per SOW §3.5. Sensitivity sheet covers 10k / 25k / 50k.</t>
  </si>
  <si>
    <t>Important disclaimers</t>
  </si>
  <si>
    <t>• Daily rates in Sheet 2 are PLACEHOLDER values for AIdeology to validate against actual cost structure.</t>
  </si>
  <si>
    <t>• Headcount and allocation % per phase are AIdeology's first-pass sizing. Adjust based on actual team capacity.</t>
  </si>
  <si>
    <t>• Voice provider on-prem cost (11Labs) on Sheet 5 is an estimate pending vendor quote.</t>
  </si>
  <si>
    <t>• GPU loan from HPE is assumed at no charge for the bridge period; if HPE charges, add to Sheet 5.</t>
  </si>
  <si>
    <t>• All non-personnel costs are estimates only; obtain firm quotes before issuing commercial annex to HPE.</t>
  </si>
  <si>
    <t>Roles &amp; Daily Rates</t>
  </si>
  <si>
    <t>Daily rates in USD. Internal cost = AIdeology fully-loaded cost. Bill rate = what we charge HPE before margin applied at programme level (Sheet 6).</t>
  </si>
  <si>
    <t>Role</t>
  </si>
  <si>
    <t>Seniority</t>
  </si>
  <si>
    <t>Internal cost / day (USD)</t>
  </si>
  <si>
    <t>Bill rate / day (USD)</t>
  </si>
  <si>
    <t>Notes</t>
  </si>
  <si>
    <t>Engagement / Programme Manager</t>
  </si>
  <si>
    <t>Senior</t>
  </si>
  <si>
    <t>Single point of contact to HPE PMO; weekly governance.</t>
  </si>
  <si>
    <t>Solution Architect (Lead)</t>
  </si>
  <si>
    <t>Principal</t>
  </si>
  <si>
    <t>Owns HLD/LLD; latency budget; sizing scenarios.</t>
  </si>
  <si>
    <t>AI / LLM Engineer — Orchestration &amp; Reasoning</t>
  </si>
  <si>
    <t>Markdown rules engine, FSM, tool-calling. LLM service, prompt management, guardrails.</t>
  </si>
  <si>
    <t>Voice / Conversational Engineer</t>
  </si>
  <si>
    <t>11Labs on-prem, fillers, barge-in.</t>
  </si>
  <si>
    <t>Data &amp; Integration Engineer</t>
  </si>
  <si>
    <t>Oracle DW views, local cache, PII masking pipeline. MCP server + 6 ADNOC adapters.</t>
  </si>
  <si>
    <t>Frontend / UX Engineer</t>
  </si>
  <si>
    <t>Mid</t>
  </si>
  <si>
    <t>Operator / Manager / Admin consoles.</t>
  </si>
  <si>
    <t>DevOps / Platform Engineer</t>
  </si>
  <si>
    <t>Helm, Terraform, CI/CD, Grafana/Loki.</t>
  </si>
  <si>
    <t>QA Engineer</t>
  </si>
  <si>
    <t>UAT pack, synthetic data, automated tests.</t>
  </si>
  <si>
    <t>Security / Compliance Lead</t>
  </si>
  <si>
    <t>PII residency, GDPR alignment, pen-test support.</t>
  </si>
  <si>
    <t>Total roles in plan: 9</t>
  </si>
  <si>
    <t>Phase Staffing — Person-weeks per Role per Phase</t>
  </si>
  <si>
    <t>Each cell = (headcount × % allocation × phase duration in weeks). Edit headcount and allocation in the editable section below.</t>
  </si>
  <si>
    <t>P1 — Mobilisation &amp; Discovery</t>
  </si>
  <si>
    <t>P2 — Architecture &amp; Prototype</t>
  </si>
  <si>
    <t>P3 — Build (core + integrations)</t>
  </si>
  <si>
    <t>P4 — Integration &amp; Hardening</t>
  </si>
  <si>
    <t>P5 — Pilot &amp; Phase-1 Expansion</t>
  </si>
  <si>
    <t>P6 — Hand-over &amp; Hypercare</t>
  </si>
  <si>
    <t>Total p-weeks</t>
  </si>
  <si>
    <t>Phase duration (weeks)</t>
  </si>
  <si>
    <t>AI / LLM Engineer — Reasoning</t>
  </si>
  <si>
    <t>Data Engineer</t>
  </si>
  <si>
    <t>Total person-weeks per phase</t>
  </si>
  <si>
    <t>EDITABLE — Headcount and Allocation % per Role per Phase</t>
  </si>
  <si>
    <t>Format per cell: HEADCOUNT × ALLOCATION%. Edit in the two sub-rows below per role.</t>
  </si>
  <si>
    <t>Headcount per phase (number of people).</t>
  </si>
  <si>
    <t>Allocation % per phase (share of time on this programme).</t>
  </si>
  <si>
    <t>Phase Effort &amp; Cost — Internal Cost basis</t>
  </si>
  <si>
    <t>Cost per role per phase = person-weeks (Sheet 3) × days per week × internal cost/day (Sheet 2). Bill view repeats with bill rates.</t>
  </si>
  <si>
    <t>A. INTERNAL COST (fully-loaded AIdeology cost)</t>
  </si>
  <si>
    <t>Cost / day</t>
  </si>
  <si>
    <t>Total cost</t>
  </si>
  <si>
    <t>% of total</t>
  </si>
  <si>
    <t>Total internal cost per phase</t>
  </si>
  <si>
    <t>Other (non-personnel) Costs</t>
  </si>
  <si>
    <t>Software, cloud, voice provider, travel, contingency. All values are placeholder estimates pending firm quotes.</t>
  </si>
  <si>
    <t>Cost item</t>
  </si>
  <si>
    <t>Unit cost</t>
  </si>
  <si>
    <t>Quantity / months</t>
  </si>
  <si>
    <t>Phase trigger</t>
  </si>
  <si>
    <t>11Labs on-prem licence (estimate)</t>
  </si>
  <si>
    <t>P2–P6</t>
  </si>
  <si>
    <t>Pending vendor quote; viability under evaluation per SOW §7.1 A4.</t>
  </si>
  <si>
    <t>LLM inference licence / model access</t>
  </si>
  <si>
    <t>Open-weights deployed on HPE infra; assume nominal licence fee.</t>
  </si>
  <si>
    <t>Observability stack (Grafana Cloud / Loki)</t>
  </si>
  <si>
    <t>P1–P6</t>
  </si>
  <si>
    <t>Hosted observability for the team during build.</t>
  </si>
  <si>
    <t>CI/CD &amp; repo hosting</t>
  </si>
  <si>
    <t>GitHub Enterprise / equivalent.</t>
  </si>
  <si>
    <t>Security tooling (SAST/DAST/SCA)</t>
  </si>
  <si>
    <t>Snyk / Checkmarx etc.</t>
  </si>
  <si>
    <t>Pen-test (third-party)</t>
  </si>
  <si>
    <t>P4</t>
  </si>
  <si>
    <t>External pen-test before pilot go-live.</t>
  </si>
  <si>
    <t>Travel — UAE (per trip, 3 people, 5 days)</t>
  </si>
  <si>
    <t>P1–P5</t>
  </si>
  <si>
    <t>On-site mobilisation, integration, UAT, pilot go-live.</t>
  </si>
  <si>
    <t>Demo / event support (Make in the UAE)</t>
  </si>
  <si>
    <t>P1</t>
  </si>
  <si>
    <t>Per Schedule A action.</t>
  </si>
  <si>
    <t>Misc (printing, demos, contingencies)</t>
  </si>
  <si>
    <t>All</t>
  </si>
  <si>
    <t>Petty cash for the engagement.</t>
  </si>
  <si>
    <t>Total other costs (subtotal)</t>
  </si>
  <si>
    <t>Pricing Summary — From Internal Cost to Price-to-HPE</t>
  </si>
  <si>
    <t>Walks the cost stack: personnel + non-personnel + contingency + AIdeology margin = Price to HPE. HPE markup shown for illustration only.</t>
  </si>
  <si>
    <t>Component</t>
  </si>
  <si>
    <t>Value (USD)</t>
  </si>
  <si>
    <t>Personnel cost — internal (sum of phases)</t>
  </si>
  <si>
    <t>From Sheet 4 (cost basis).</t>
  </si>
  <si>
    <t>Other costs — non-personnel</t>
  </si>
  <si>
    <t>From Sheet 5.</t>
  </si>
  <si>
    <t>Subtotal — direct cost</t>
  </si>
  <si>
    <t>Personnel + non-personnel.</t>
  </si>
  <si>
    <t>% from Sheet 1.</t>
  </si>
  <si>
    <t>Total fully-loaded cost</t>
  </si>
  <si>
    <t>Direct cost + contingency.</t>
  </si>
  <si>
    <t>AIdeology margin on cost</t>
  </si>
  <si>
    <t>Margin grossed up: price = cost / (1 - margin).</t>
  </si>
  <si>
    <t>Price to HPE (excl. risk reserve)</t>
  </si>
  <si>
    <t>What we propose to charge HPE.</t>
  </si>
  <si>
    <t>Effective margin %</t>
  </si>
  <si>
    <t>Should approximate target margin from Sheet 1.</t>
  </si>
  <si>
    <t>ILLUSTRATIVE — HPE markup</t>
  </si>
  <si>
    <t>HPE sets its own markup. This is for our internal awareness only.</t>
  </si>
  <si>
    <t>ILLUSTRATIVE — Price to ADNOC (post-HPE markup)</t>
  </si>
  <si>
    <t>What ADNOC may pay if HPE applies the assumed markup.</t>
  </si>
  <si>
    <t>Risk reserve (held internally — not in price)</t>
  </si>
  <si>
    <t>Held at AIdeology level for genuine risk events.</t>
  </si>
  <si>
    <t>Memo — net AIdeology gross margin after risk reserve</t>
  </si>
  <si>
    <t>Useful internal management number.</t>
  </si>
  <si>
    <t>Payment Milestones — Price-to-HPE distributed across 4 trigger events</t>
  </si>
  <si>
    <t>Triggered by SOW deliverables. Total = 100% of Price to HPE. Sum check at the bottom must equal Price to HPE.</t>
  </si>
  <si>
    <t>#</t>
  </si>
  <si>
    <t>Milestone / trigger</t>
  </si>
  <si>
    <t>% of price</t>
  </si>
  <si>
    <t>Target week</t>
  </si>
  <si>
    <t>Amount (USD)</t>
  </si>
  <si>
    <t>Acceptance criteria</t>
  </si>
  <si>
    <t>Mobilisation &amp; SOW signature (kickoff)</t>
  </si>
  <si>
    <t>T + 0</t>
  </si>
  <si>
    <t>SOW signed; team mobilised within 48h; SOW Schedule A traceability accepted.</t>
  </si>
  <si>
    <t>Architecture acceptance + integration sandbox live</t>
  </si>
  <si>
    <t>T + 4 wk</t>
  </si>
  <si>
    <t>M3 (HLD accepted) + M5 (MCP server v1 + first 3 ADNOC integrations wired).</t>
  </si>
  <si>
    <t>Pilot go-live (limited cohort)</t>
  </si>
  <si>
    <t>T + 12 wk</t>
  </si>
  <si>
    <t>M9 (pilot go-live) — Subcontractor confirms deployment; HPE/ADNOC validate first 5 days.</t>
  </si>
  <si>
    <t>Final acceptance &amp; hand-over</t>
  </si>
  <si>
    <t>T + 16 wk</t>
  </si>
  <si>
    <t>M11 (hand-over to HPE service ops + SLA validation period commenced).</t>
  </si>
  <si>
    <t>Sum check</t>
  </si>
  <si>
    <t>Indicative monthly cash-flow (months from kickoff)</t>
  </si>
  <si>
    <t>Item</t>
  </si>
  <si>
    <t>M0 (kickoff)</t>
  </si>
  <si>
    <t>M1</t>
  </si>
  <si>
    <t>M2</t>
  </si>
  <si>
    <t>M3 (pilot go-live)</t>
  </si>
  <si>
    <t>M4 (hand-over)</t>
  </si>
  <si>
    <t>Cash IN (payments from HPE)</t>
  </si>
  <si>
    <t>Cash OUT (AIdeology cost burn, est.)</t>
  </si>
  <si>
    <t>Net cash flow</t>
  </si>
  <si>
    <t>Cumulative net cash flow</t>
  </si>
  <si>
    <t>Note: cash-out assumes uniform burn within month; refine if monthly invoicing differs from phase boundaries.</t>
  </si>
  <si>
    <t>Sensitivity — Cost &amp; Price by Concurrency Scenario</t>
  </si>
  <si>
    <t>Three concurrency design points per SOW §3.5. Effort uplift modelled as a multiplier on personnel cost.</t>
  </si>
  <si>
    <t>Scenario</t>
  </si>
  <si>
    <t>Effort uplift</t>
  </si>
  <si>
    <t>Personnel cost</t>
  </si>
  <si>
    <t>Other costs uplift</t>
  </si>
  <si>
    <t>10k concurrent users</t>
  </si>
  <si>
    <t>Lighter sizing; smaller cluster, fewer integrations stress points.</t>
  </si>
  <si>
    <t>25k concurrent users (baseline)</t>
  </si>
  <si>
    <t>Baseline assumed in main sheets.</t>
  </si>
  <si>
    <t>50k concurrent users</t>
  </si>
  <si>
    <t>Heavier sizing; more parallelism, additional NFR work.</t>
  </si>
  <si>
    <t>Margin</t>
  </si>
  <si>
    <t>Price to HPE</t>
  </si>
  <si>
    <t>Δ vs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</si>
</sst>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;\-"/>
    <numFmt numFmtId="165" formatCode="0.0%;\(0.0%\);\-"/>
    <numFmt numFmtId="166" formatCode="\$#,##0;&quot;($&quot;#,##0\);\-"/>
    <numFmt numFmtId="167" formatCode="0.00\x"/>
  </numFmts>
  <fonts count="16"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b/>
      <sz val="12"/>
      <color rgb="FF2E75B6"/>
      <name val="Arial"/>
      <family val="2"/>
    </font>
    <font>
      <b/>
      <i/>
      <sz val="10"/>
      <color rgb="FFC00000"/>
      <name val="Arial"/>
      <family val="2"/>
    </font>
    <font>
      <i/>
      <sz val="9"/>
      <color rgb="FF80808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595959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1"/>
      <color rgb="FF242424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EBEE"/>
      </patternFill>
    </fill>
    <fill>
      <patternFill patternType="solid">
        <fgColor rgb="FFF5F8FB"/>
        <bgColor rgb="FFFFFFFF"/>
      </patternFill>
    </fill>
    <fill>
      <patternFill patternType="solid">
        <fgColor rgb="FFEAF1F8"/>
        <bgColor rgb="FFE8F5E9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AF1F8"/>
      </patternFill>
    </fill>
    <fill>
      <patternFill patternType="solid">
        <fgColor rgb="FFFFEBEE"/>
        <bgColor rgb="FFF5F8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166" fontId="7" fillId="3" borderId="1" xfId="0" applyNumberFormat="1" applyFont="1" applyFill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0" fontId="5" fillId="4" borderId="0" xfId="0" applyFont="1" applyFill="1"/>
    <xf numFmtId="0" fontId="0" fillId="4" borderId="0" xfId="0" applyFill="1" applyAlignment="1">
      <alignment horizontal="center" vertical="center" wrapText="1"/>
    </xf>
    <xf numFmtId="0" fontId="4" fillId="4" borderId="0" xfId="0" applyFont="1" applyFill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1" fillId="5" borderId="0" xfId="0" applyFont="1" applyFill="1"/>
    <xf numFmtId="0" fontId="11" fillId="0" borderId="0" xfId="0" applyFont="1"/>
    <xf numFmtId="166" fontId="12" fillId="0" borderId="1" xfId="0" applyNumberFormat="1" applyFont="1" applyBorder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0" fontId="0" fillId="5" borderId="0" xfId="0" applyFill="1"/>
    <xf numFmtId="165" fontId="11" fillId="5" borderId="1" xfId="0" applyNumberFormat="1" applyFont="1" applyFill="1" applyBorder="1" applyAlignment="1">
      <alignment horizontal="right" vertical="center"/>
    </xf>
    <xf numFmtId="0" fontId="13" fillId="6" borderId="0" xfId="0" applyFont="1" applyFill="1"/>
    <xf numFmtId="166" fontId="13" fillId="6" borderId="1" xfId="0" applyNumberFormat="1" applyFont="1" applyFill="1" applyBorder="1" applyAlignment="1">
      <alignment horizontal="right" vertical="center"/>
    </xf>
    <xf numFmtId="165" fontId="11" fillId="5" borderId="1" xfId="0" applyNumberFormat="1" applyFont="1" applyFill="1" applyBorder="1" applyAlignment="1">
      <alignment horizontal="center" vertical="center" wrapText="1"/>
    </xf>
    <xf numFmtId="0" fontId="11" fillId="7" borderId="0" xfId="0" applyFont="1" applyFill="1"/>
    <xf numFmtId="166" fontId="9" fillId="7" borderId="1" xfId="0" applyNumberFormat="1" applyFont="1" applyFill="1" applyBorder="1" applyAlignment="1">
      <alignment horizontal="right" vertical="center"/>
    </xf>
    <xf numFmtId="0" fontId="11" fillId="8" borderId="0" xfId="0" applyFont="1" applyFill="1"/>
    <xf numFmtId="166" fontId="0" fillId="8" borderId="1" xfId="0" applyNumberFormat="1" applyFill="1" applyBorder="1"/>
    <xf numFmtId="166" fontId="9" fillId="8" borderId="1" xfId="0" applyNumberFormat="1" applyFont="1" applyFill="1" applyBorder="1" applyAlignment="1">
      <alignment horizontal="right" vertical="center"/>
    </xf>
    <xf numFmtId="167" fontId="7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165" fontId="9" fillId="0" borderId="1" xfId="0" applyNumberFormat="1" applyFont="1" applyBorder="1" applyAlignment="1">
      <alignment horizontal="center" vertical="center" wrapText="1"/>
    </xf>
    <xf numFmtId="0" fontId="5" fillId="9" borderId="0" xfId="0" applyFont="1" applyFill="1"/>
    <xf numFmtId="0" fontId="0" fillId="9" borderId="0" xfId="0" applyFill="1" applyAlignment="1">
      <alignment horizontal="center" vertical="center" wrapText="1"/>
    </xf>
    <xf numFmtId="166" fontId="7" fillId="9" borderId="1" xfId="0" applyNumberFormat="1" applyFont="1" applyFill="1" applyBorder="1" applyAlignment="1">
      <alignment horizontal="right" vertical="center"/>
    </xf>
    <xf numFmtId="0" fontId="0" fillId="9" borderId="0" xfId="0" applyFill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F5F8FB"/>
      <rgbColor rgb="FFFFEBEE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6B6BBE-82F9-49D1-A209-AECF201442B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69e1ec2-83ef-4845-a055-3d6c011d64c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1"/>
  <sheetViews>
    <sheetView topLeftCell="A5" zoomScale="158" zoomScaleNormal="100" workbookViewId="0">
      <selection activeCell="B31" sqref="B31"/>
    </sheetView>
  </sheetViews>
  <sheetFormatPr defaultColWidth="8.7109375" defaultRowHeight="15"/>
  <cols>
    <col min="1" max="1" width="3" customWidth="1"/>
    <col min="2" max="2" width="38" customWidth="1"/>
    <col min="3" max="4" width="18" customWidth="1"/>
    <col min="5" max="5" width="60" customWidth="1"/>
  </cols>
  <sheetData>
    <row r="2" spans="2:2" ht="20.100000000000001">
      <c r="B2" s="1" t="s">
        <v>0</v>
      </c>
    </row>
    <row r="3" spans="2:2" ht="15.95">
      <c r="B3" s="2" t="s">
        <v>1</v>
      </c>
    </row>
    <row r="4" spans="2:2">
      <c r="B4" s="3" t="s">
        <v>2</v>
      </c>
    </row>
    <row r="5" spans="2:2">
      <c r="B5" s="4" t="s">
        <v>3</v>
      </c>
    </row>
    <row r="7" spans="2:2" ht="15.95">
      <c r="B7" s="2" t="s">
        <v>4</v>
      </c>
    </row>
    <row r="8" spans="2:2">
      <c r="B8" s="5" t="s">
        <v>5</v>
      </c>
    </row>
    <row r="9" spans="2:2">
      <c r="B9" s="5" t="s">
        <v>6</v>
      </c>
    </row>
    <row r="10" spans="2:2">
      <c r="B10" s="5" t="s">
        <v>7</v>
      </c>
    </row>
    <row r="11" spans="2:2">
      <c r="B11" s="5" t="s">
        <v>8</v>
      </c>
    </row>
    <row r="12" spans="2:2">
      <c r="B12" s="5" t="s">
        <v>9</v>
      </c>
    </row>
    <row r="13" spans="2:2">
      <c r="B13" s="5" t="s">
        <v>10</v>
      </c>
    </row>
    <row r="14" spans="2:2">
      <c r="B14" s="5" t="s">
        <v>11</v>
      </c>
    </row>
    <row r="15" spans="2:2">
      <c r="B15" s="5" t="s">
        <v>12</v>
      </c>
    </row>
    <row r="16" spans="2:2">
      <c r="B16" s="5" t="s">
        <v>13</v>
      </c>
    </row>
    <row r="17" spans="2:5">
      <c r="B17" s="5" t="s">
        <v>14</v>
      </c>
    </row>
    <row r="18" spans="2:5">
      <c r="B18" s="5" t="s">
        <v>15</v>
      </c>
    </row>
    <row r="22" spans="2:5" ht="15.95">
      <c r="B22" s="2" t="s">
        <v>16</v>
      </c>
    </row>
    <row r="23" spans="2:5">
      <c r="B23" s="6" t="s">
        <v>17</v>
      </c>
      <c r="C23" s="6" t="s">
        <v>18</v>
      </c>
      <c r="D23" s="6" t="s">
        <v>19</v>
      </c>
      <c r="E23" s="6" t="s">
        <v>20</v>
      </c>
    </row>
    <row r="24" spans="2:5" ht="15.95">
      <c r="B24" s="5" t="s">
        <v>21</v>
      </c>
      <c r="C24" s="7">
        <v>16</v>
      </c>
      <c r="D24" s="8" t="s">
        <v>22</v>
      </c>
      <c r="E24" s="4" t="s">
        <v>23</v>
      </c>
    </row>
    <row r="25" spans="2:5" ht="15.95">
      <c r="B25" s="5" t="s">
        <v>24</v>
      </c>
      <c r="C25" s="7">
        <v>5</v>
      </c>
      <c r="D25" s="8" t="s">
        <v>25</v>
      </c>
      <c r="E25" s="4" t="s">
        <v>26</v>
      </c>
    </row>
    <row r="26" spans="2:5" ht="15.95">
      <c r="B26" s="5" t="s">
        <v>27</v>
      </c>
      <c r="C26" s="7">
        <v>8</v>
      </c>
      <c r="D26" s="8" t="s">
        <v>28</v>
      </c>
      <c r="E26" s="4" t="s">
        <v>26</v>
      </c>
    </row>
    <row r="27" spans="2:5" ht="15.95">
      <c r="B27" s="5" t="s">
        <v>29</v>
      </c>
      <c r="C27" s="9" t="s">
        <v>30</v>
      </c>
      <c r="D27" s="8" t="s">
        <v>31</v>
      </c>
      <c r="E27" s="4" t="s">
        <v>32</v>
      </c>
    </row>
    <row r="28" spans="2:5" ht="15.95">
      <c r="B28" s="5" t="s">
        <v>33</v>
      </c>
      <c r="C28" s="10">
        <v>3.67</v>
      </c>
      <c r="D28" s="8" t="s">
        <v>34</v>
      </c>
      <c r="E28" s="4" t="s">
        <v>35</v>
      </c>
    </row>
    <row r="29" spans="2:5" ht="15.95">
      <c r="B29" s="5" t="s">
        <v>36</v>
      </c>
      <c r="C29" s="11">
        <v>0.35</v>
      </c>
      <c r="D29" s="8" t="s">
        <v>37</v>
      </c>
      <c r="E29" s="4" t="s">
        <v>38</v>
      </c>
    </row>
    <row r="30" spans="2:5" ht="15.95">
      <c r="B30" s="5" t="s">
        <v>39</v>
      </c>
      <c r="C30" s="11">
        <v>0.1</v>
      </c>
      <c r="D30" s="8" t="s">
        <v>37</v>
      </c>
      <c r="E30" s="4" t="s">
        <v>40</v>
      </c>
    </row>
    <row r="31" spans="2:5" ht="15.95">
      <c r="B31" s="5" t="s">
        <v>41</v>
      </c>
      <c r="C31" s="11">
        <v>0.05</v>
      </c>
      <c r="D31" s="8" t="s">
        <v>37</v>
      </c>
      <c r="E31" s="4" t="s">
        <v>42</v>
      </c>
    </row>
    <row r="32" spans="2:5" ht="15.95">
      <c r="B32" s="5" t="s">
        <v>43</v>
      </c>
      <c r="C32" s="11">
        <v>0.2</v>
      </c>
      <c r="D32" s="8" t="s">
        <v>37</v>
      </c>
      <c r="E32" s="4" t="s">
        <v>44</v>
      </c>
    </row>
    <row r="33" spans="2:5" ht="15.95">
      <c r="B33" s="5" t="s">
        <v>45</v>
      </c>
      <c r="C33" s="9" t="s">
        <v>46</v>
      </c>
      <c r="D33" s="8" t="s">
        <v>47</v>
      </c>
      <c r="E33" s="4" t="s">
        <v>48</v>
      </c>
    </row>
    <row r="36" spans="2:5" ht="15.95">
      <c r="B36" s="2" t="s">
        <v>49</v>
      </c>
    </row>
    <row r="37" spans="2:5">
      <c r="B37" s="12" t="s">
        <v>50</v>
      </c>
    </row>
    <row r="38" spans="2:5">
      <c r="B38" s="12" t="s">
        <v>51</v>
      </c>
    </row>
    <row r="39" spans="2:5">
      <c r="B39" s="12" t="s">
        <v>52</v>
      </c>
    </row>
    <row r="40" spans="2:5">
      <c r="B40" s="12" t="s">
        <v>53</v>
      </c>
    </row>
    <row r="41" spans="2:5">
      <c r="B41" s="1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6"/>
  <sheetViews>
    <sheetView zoomScale="144" zoomScaleNormal="100" workbookViewId="0">
      <selection activeCell="B24" sqref="B24"/>
    </sheetView>
  </sheetViews>
  <sheetFormatPr defaultColWidth="8.7109375" defaultRowHeight="15"/>
  <cols>
    <col min="1" max="1" width="3" customWidth="1"/>
    <col min="2" max="2" width="43.85546875" customWidth="1"/>
    <col min="3" max="3" width="14" customWidth="1"/>
    <col min="4" max="5" width="16" customWidth="1"/>
    <col min="6" max="6" width="69.85546875" customWidth="1"/>
  </cols>
  <sheetData>
    <row r="2" spans="2:6" ht="20.100000000000001">
      <c r="B2" s="1" t="s">
        <v>55</v>
      </c>
    </row>
    <row r="3" spans="2:6">
      <c r="B3" s="4" t="s">
        <v>56</v>
      </c>
    </row>
    <row r="5" spans="2:6" ht="27.95"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</row>
    <row r="6" spans="2:6" ht="15.95">
      <c r="B6" s="5" t="s">
        <v>62</v>
      </c>
      <c r="C6" s="8" t="s">
        <v>63</v>
      </c>
      <c r="D6" s="13">
        <v>1100</v>
      </c>
      <c r="E6" s="13">
        <v>1850</v>
      </c>
      <c r="F6" s="4" t="s">
        <v>64</v>
      </c>
    </row>
    <row r="7" spans="2:6" ht="15.95">
      <c r="B7" s="16" t="s">
        <v>65</v>
      </c>
      <c r="C7" s="17" t="s">
        <v>66</v>
      </c>
      <c r="D7" s="13">
        <v>1100</v>
      </c>
      <c r="E7" s="13">
        <v>2150</v>
      </c>
      <c r="F7" s="18" t="s">
        <v>67</v>
      </c>
    </row>
    <row r="8" spans="2:6" s="43" customFormat="1" ht="15.95">
      <c r="B8" s="40" t="s">
        <v>68</v>
      </c>
      <c r="C8" s="41" t="s">
        <v>63</v>
      </c>
      <c r="D8" s="42">
        <v>900</v>
      </c>
      <c r="E8" s="42">
        <v>1750</v>
      </c>
      <c r="F8" s="44" t="s">
        <v>69</v>
      </c>
    </row>
    <row r="9" spans="2:6" ht="15.95">
      <c r="B9" s="5" t="s">
        <v>70</v>
      </c>
      <c r="C9" s="8" t="s">
        <v>63</v>
      </c>
      <c r="D9" s="13">
        <v>900</v>
      </c>
      <c r="E9" s="13">
        <v>1750</v>
      </c>
      <c r="F9" s="4" t="s">
        <v>71</v>
      </c>
    </row>
    <row r="10" spans="2:6" ht="15.95">
      <c r="B10" s="5" t="s">
        <v>72</v>
      </c>
      <c r="C10" s="8" t="s">
        <v>63</v>
      </c>
      <c r="D10" s="13">
        <v>950</v>
      </c>
      <c r="E10" s="13">
        <v>1550</v>
      </c>
      <c r="F10" s="4" t="s">
        <v>73</v>
      </c>
    </row>
    <row r="11" spans="2:6" ht="15.95">
      <c r="B11" s="16" t="s">
        <v>74</v>
      </c>
      <c r="C11" s="17" t="s">
        <v>75</v>
      </c>
      <c r="D11" s="13">
        <v>800</v>
      </c>
      <c r="E11" s="13">
        <v>1300</v>
      </c>
      <c r="F11" s="18" t="s">
        <v>76</v>
      </c>
    </row>
    <row r="12" spans="2:6" ht="15.95">
      <c r="B12" s="5" t="s">
        <v>77</v>
      </c>
      <c r="C12" s="8" t="s">
        <v>63</v>
      </c>
      <c r="D12" s="13">
        <v>950</v>
      </c>
      <c r="E12" s="13">
        <v>1550</v>
      </c>
      <c r="F12" s="4" t="s">
        <v>78</v>
      </c>
    </row>
    <row r="13" spans="2:6" ht="15.95">
      <c r="B13" s="16" t="s">
        <v>79</v>
      </c>
      <c r="C13" s="17" t="s">
        <v>75</v>
      </c>
      <c r="D13" s="13">
        <v>750</v>
      </c>
      <c r="E13" s="13">
        <v>1200</v>
      </c>
      <c r="F13" s="18" t="s">
        <v>80</v>
      </c>
    </row>
    <row r="14" spans="2:6" ht="15.95">
      <c r="B14" s="5" t="s">
        <v>81</v>
      </c>
      <c r="C14" s="8" t="s">
        <v>63</v>
      </c>
      <c r="D14" s="13">
        <v>1100</v>
      </c>
      <c r="E14" s="13">
        <v>1750</v>
      </c>
      <c r="F14" s="4" t="s">
        <v>82</v>
      </c>
    </row>
    <row r="16" spans="2:6">
      <c r="B16" s="4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44"/>
  <sheetViews>
    <sheetView tabSelected="1" zoomScale="150" zoomScaleNormal="100" workbookViewId="0">
      <selection activeCell="G30" sqref="G30"/>
    </sheetView>
  </sheetViews>
  <sheetFormatPr defaultColWidth="8.7109375" defaultRowHeight="15"/>
  <cols>
    <col min="1" max="1" width="3" customWidth="1"/>
    <col min="2" max="2" width="55.42578125" customWidth="1"/>
    <col min="3" max="9" width="13" customWidth="1"/>
  </cols>
  <sheetData>
    <row r="2" spans="2:9" ht="20.100000000000001">
      <c r="B2" s="1" t="s">
        <v>84</v>
      </c>
    </row>
    <row r="3" spans="2:9">
      <c r="B3" s="4" t="s">
        <v>85</v>
      </c>
    </row>
    <row r="5" spans="2:9" ht="42">
      <c r="B5" s="6" t="s">
        <v>57</v>
      </c>
      <c r="C5" s="6" t="s">
        <v>86</v>
      </c>
      <c r="D5" s="6" t="s">
        <v>87</v>
      </c>
      <c r="E5" s="6" t="s">
        <v>88</v>
      </c>
      <c r="F5" s="6" t="s">
        <v>89</v>
      </c>
      <c r="G5" s="6" t="s">
        <v>90</v>
      </c>
      <c r="H5" s="6" t="s">
        <v>91</v>
      </c>
      <c r="I5" s="6" t="s">
        <v>92</v>
      </c>
    </row>
    <row r="6" spans="2:9" ht="15.95">
      <c r="B6" s="19" t="s">
        <v>93</v>
      </c>
      <c r="C6" s="20">
        <v>2</v>
      </c>
      <c r="D6" s="20">
        <v>2</v>
      </c>
      <c r="E6" s="20">
        <v>4</v>
      </c>
      <c r="F6" s="20">
        <v>2</v>
      </c>
      <c r="G6" s="20">
        <v>4</v>
      </c>
      <c r="H6" s="20">
        <v>2</v>
      </c>
      <c r="I6" s="8" t="s">
        <v>31</v>
      </c>
    </row>
    <row r="7" spans="2:9">
      <c r="B7" s="5" t="s">
        <v>62</v>
      </c>
      <c r="C7" s="21">
        <f>C23*C36*C6</f>
        <v>1</v>
      </c>
      <c r="D7" s="21">
        <f>D23*D36*D6</f>
        <v>1</v>
      </c>
      <c r="E7" s="21">
        <f>E23*E36*E6</f>
        <v>2.4</v>
      </c>
      <c r="F7" s="21">
        <f>F23*F36*F6</f>
        <v>1.4</v>
      </c>
      <c r="G7" s="21">
        <f>G23*G36*G6</f>
        <v>2.8</v>
      </c>
      <c r="H7" s="21">
        <f>H23*H36*H6</f>
        <v>1</v>
      </c>
      <c r="I7" s="22">
        <f t="shared" ref="I7:I16" si="0">SUM(C7:H7)</f>
        <v>9.6000000000000014</v>
      </c>
    </row>
    <row r="8" spans="2:9">
      <c r="B8" s="5" t="s">
        <v>65</v>
      </c>
      <c r="C8" s="21">
        <f>C24*C37*C6</f>
        <v>2</v>
      </c>
      <c r="D8" s="21">
        <f>D24*D37*D6</f>
        <v>2</v>
      </c>
      <c r="E8" s="21">
        <f>E24*E37*E6</f>
        <v>3.2</v>
      </c>
      <c r="F8" s="21">
        <f>F24*F37*F6</f>
        <v>1.2</v>
      </c>
      <c r="G8" s="21">
        <f>G24*G37*G6</f>
        <v>1.6</v>
      </c>
      <c r="H8" s="21">
        <f>H24*H37*H6</f>
        <v>0.6</v>
      </c>
      <c r="I8" s="22">
        <f t="shared" si="0"/>
        <v>10.6</v>
      </c>
    </row>
    <row r="9" spans="2:9">
      <c r="B9" s="5" t="s">
        <v>94</v>
      </c>
      <c r="C9" s="21">
        <f>C25*C38*C6</f>
        <v>1</v>
      </c>
      <c r="D9" s="21">
        <f>D25*D38*D6</f>
        <v>2</v>
      </c>
      <c r="E9" s="21">
        <f>E25*E38*E6</f>
        <v>8</v>
      </c>
      <c r="F9" s="21">
        <f>F25*F38*F6</f>
        <v>4</v>
      </c>
      <c r="G9" s="21">
        <f>G25*G38*G6</f>
        <v>2.4</v>
      </c>
      <c r="H9" s="21">
        <f>H25*H38*H6</f>
        <v>0.8</v>
      </c>
      <c r="I9" s="22">
        <f>SUM(C9:H9)</f>
        <v>18.2</v>
      </c>
    </row>
    <row r="10" spans="2:9">
      <c r="B10" s="5" t="s">
        <v>70</v>
      </c>
      <c r="C10" s="21">
        <f>C26*C39*C6</f>
        <v>1</v>
      </c>
      <c r="D10" s="21">
        <f>D26*D39*D6</f>
        <v>1.6</v>
      </c>
      <c r="E10" s="21">
        <f>E26*E39*E6</f>
        <v>8</v>
      </c>
      <c r="F10" s="21">
        <f>F26*F39*F6</f>
        <v>2</v>
      </c>
      <c r="G10" s="21">
        <f>G26*G39*G6</f>
        <v>2.4</v>
      </c>
      <c r="H10" s="21">
        <f>H26*H39*H6</f>
        <v>0</v>
      </c>
      <c r="I10" s="22">
        <f t="shared" si="0"/>
        <v>15</v>
      </c>
    </row>
    <row r="11" spans="2:9">
      <c r="B11" s="5" t="s">
        <v>95</v>
      </c>
      <c r="C11" s="21">
        <f>C27*C40*C6</f>
        <v>1</v>
      </c>
      <c r="D11" s="21">
        <f>D27*D40*D6</f>
        <v>1.6</v>
      </c>
      <c r="E11" s="21">
        <f>E27*E40*E6</f>
        <v>3.2</v>
      </c>
      <c r="F11" s="21">
        <f>F27*F40*F6</f>
        <v>1.6</v>
      </c>
      <c r="G11" s="21">
        <f>G27*G40*G6</f>
        <v>2</v>
      </c>
      <c r="H11" s="21">
        <f>H27*H40*H6</f>
        <v>0</v>
      </c>
      <c r="I11" s="22">
        <f t="shared" si="0"/>
        <v>9.4</v>
      </c>
    </row>
    <row r="12" spans="2:9">
      <c r="B12" s="5" t="s">
        <v>74</v>
      </c>
      <c r="C12" s="21">
        <f>C28*C41*C6</f>
        <v>1</v>
      </c>
      <c r="D12" s="21">
        <f>D28*D41*D6</f>
        <v>1.2</v>
      </c>
      <c r="E12" s="21">
        <f>E28*E41*E6</f>
        <v>4</v>
      </c>
      <c r="F12" s="21">
        <f>F28*F41*F6</f>
        <v>1.6</v>
      </c>
      <c r="G12" s="21">
        <f>G28*G41*G6</f>
        <v>2</v>
      </c>
      <c r="H12" s="21">
        <f>H28*H41*H6</f>
        <v>0</v>
      </c>
      <c r="I12" s="22">
        <f t="shared" si="0"/>
        <v>9.8000000000000007</v>
      </c>
    </row>
    <row r="13" spans="2:9">
      <c r="B13" s="5" t="s">
        <v>77</v>
      </c>
      <c r="C13" s="21">
        <f>C29*C42*C6</f>
        <v>1.6</v>
      </c>
      <c r="D13" s="21">
        <f>D29*D42*D6</f>
        <v>3.2</v>
      </c>
      <c r="E13" s="21">
        <f>E29*E42*E6</f>
        <v>3.2</v>
      </c>
      <c r="F13" s="21">
        <f>F29*F42*F6</f>
        <v>1.6</v>
      </c>
      <c r="G13" s="21">
        <f>G29*G42*G6</f>
        <v>3.2</v>
      </c>
      <c r="H13" s="21">
        <f>H29*H42*H6</f>
        <v>1</v>
      </c>
      <c r="I13" s="22">
        <f t="shared" si="0"/>
        <v>13.8</v>
      </c>
    </row>
    <row r="14" spans="2:9">
      <c r="B14" s="5" t="s">
        <v>79</v>
      </c>
      <c r="C14" s="21">
        <f>C30*C43*C6</f>
        <v>0</v>
      </c>
      <c r="D14" s="21">
        <f>D30*D43*D6</f>
        <v>0</v>
      </c>
      <c r="E14" s="21">
        <f>E30*E43*E6</f>
        <v>2</v>
      </c>
      <c r="F14" s="21">
        <f>F30*F43*F6</f>
        <v>2</v>
      </c>
      <c r="G14" s="21">
        <f>G30*G43*G6</f>
        <v>8</v>
      </c>
      <c r="H14" s="21">
        <f>H30*H43*H6</f>
        <v>1</v>
      </c>
      <c r="I14" s="22">
        <f t="shared" si="0"/>
        <v>13</v>
      </c>
    </row>
    <row r="15" spans="2:9">
      <c r="B15" s="5" t="s">
        <v>81</v>
      </c>
      <c r="C15" s="21">
        <f>C31*C44*C6</f>
        <v>1</v>
      </c>
      <c r="D15" s="21">
        <f>D31*D44*D6</f>
        <v>1</v>
      </c>
      <c r="E15" s="21">
        <f>E31*E44*E6</f>
        <v>1.2</v>
      </c>
      <c r="F15" s="21">
        <f>F31*F44*F6</f>
        <v>1</v>
      </c>
      <c r="G15" s="21">
        <f>G31*G44*G6</f>
        <v>1.2</v>
      </c>
      <c r="H15" s="21">
        <f>H31*H44*H6</f>
        <v>0</v>
      </c>
      <c r="I15" s="22">
        <f t="shared" si="0"/>
        <v>5.4</v>
      </c>
    </row>
    <row r="16" spans="2:9">
      <c r="B16" s="23" t="s">
        <v>96</v>
      </c>
      <c r="C16" s="22">
        <f t="shared" ref="C16:H16" si="1">SUM(C7:C15)</f>
        <v>9.6</v>
      </c>
      <c r="D16" s="22">
        <f t="shared" si="1"/>
        <v>13.599999999999998</v>
      </c>
      <c r="E16" s="22">
        <f t="shared" si="1"/>
        <v>35.200000000000003</v>
      </c>
      <c r="F16" s="22">
        <f t="shared" si="1"/>
        <v>16.399999999999999</v>
      </c>
      <c r="G16" s="22">
        <f t="shared" si="1"/>
        <v>25.6</v>
      </c>
      <c r="H16" s="22">
        <f t="shared" si="1"/>
        <v>4.4000000000000004</v>
      </c>
      <c r="I16" s="22">
        <f t="shared" si="0"/>
        <v>104.80000000000001</v>
      </c>
    </row>
    <row r="18" spans="2:8" ht="15.95">
      <c r="B18" s="2" t="s">
        <v>97</v>
      </c>
    </row>
    <row r="19" spans="2:8">
      <c r="B19" s="4" t="s">
        <v>98</v>
      </c>
    </row>
    <row r="21" spans="2:8">
      <c r="B21" s="24" t="s">
        <v>99</v>
      </c>
    </row>
    <row r="22" spans="2:8" ht="42">
      <c r="B22" s="6" t="s">
        <v>57</v>
      </c>
      <c r="C22" s="6" t="s">
        <v>86</v>
      </c>
      <c r="D22" s="6" t="s">
        <v>87</v>
      </c>
      <c r="E22" s="6" t="s">
        <v>88</v>
      </c>
      <c r="F22" s="6" t="s">
        <v>89</v>
      </c>
      <c r="G22" s="6" t="s">
        <v>90</v>
      </c>
      <c r="H22" s="6" t="s">
        <v>91</v>
      </c>
    </row>
    <row r="23" spans="2:8">
      <c r="B23" s="5" t="s">
        <v>62</v>
      </c>
      <c r="C23" s="7">
        <v>1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</row>
    <row r="24" spans="2:8">
      <c r="B24" s="5" t="s">
        <v>65</v>
      </c>
      <c r="C24" s="7">
        <v>1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</row>
    <row r="25" spans="2:8">
      <c r="B25" s="5" t="s">
        <v>94</v>
      </c>
      <c r="C25" s="7">
        <v>1</v>
      </c>
      <c r="D25" s="7">
        <v>1</v>
      </c>
      <c r="E25" s="7">
        <v>2</v>
      </c>
      <c r="F25" s="7">
        <v>2</v>
      </c>
      <c r="G25" s="7">
        <v>1</v>
      </c>
      <c r="H25" s="7">
        <v>1</v>
      </c>
    </row>
    <row r="26" spans="2:8">
      <c r="B26" s="5" t="s">
        <v>70</v>
      </c>
      <c r="C26" s="7">
        <v>1</v>
      </c>
      <c r="D26" s="7">
        <v>1</v>
      </c>
      <c r="E26" s="7">
        <v>2</v>
      </c>
      <c r="F26" s="7">
        <v>1</v>
      </c>
      <c r="G26" s="7">
        <v>1</v>
      </c>
      <c r="H26" s="7">
        <v>0</v>
      </c>
    </row>
    <row r="27" spans="2:8">
      <c r="B27" s="5" t="s">
        <v>95</v>
      </c>
      <c r="C27" s="7">
        <v>1</v>
      </c>
      <c r="D27" s="7">
        <v>1</v>
      </c>
      <c r="E27" s="7">
        <v>1</v>
      </c>
      <c r="F27" s="7">
        <v>1</v>
      </c>
      <c r="G27" s="7">
        <v>1</v>
      </c>
      <c r="H27" s="7">
        <v>0</v>
      </c>
    </row>
    <row r="28" spans="2:8">
      <c r="B28" s="5" t="s">
        <v>74</v>
      </c>
      <c r="C28" s="7">
        <v>1</v>
      </c>
      <c r="D28" s="7">
        <v>1</v>
      </c>
      <c r="E28" s="7">
        <v>1</v>
      </c>
      <c r="F28" s="7">
        <v>1</v>
      </c>
      <c r="G28" s="7">
        <v>1</v>
      </c>
      <c r="H28" s="7">
        <v>0</v>
      </c>
    </row>
    <row r="29" spans="2:8">
      <c r="B29" s="5" t="s">
        <v>77</v>
      </c>
      <c r="C29" s="7">
        <v>1</v>
      </c>
      <c r="D29" s="7">
        <v>2</v>
      </c>
      <c r="E29" s="7">
        <v>1</v>
      </c>
      <c r="F29" s="7">
        <v>1</v>
      </c>
      <c r="G29" s="7">
        <v>1</v>
      </c>
      <c r="H29" s="7">
        <v>1</v>
      </c>
    </row>
    <row r="30" spans="2:8">
      <c r="B30" s="5" t="s">
        <v>79</v>
      </c>
      <c r="C30" s="7">
        <v>0</v>
      </c>
      <c r="D30" s="7">
        <v>0</v>
      </c>
      <c r="E30" s="7">
        <v>1</v>
      </c>
      <c r="F30" s="7">
        <v>1</v>
      </c>
      <c r="G30" s="7">
        <v>2</v>
      </c>
      <c r="H30" s="7">
        <v>1</v>
      </c>
    </row>
    <row r="31" spans="2:8">
      <c r="B31" s="5" t="s">
        <v>81</v>
      </c>
      <c r="C31" s="7">
        <v>1</v>
      </c>
      <c r="D31" s="7">
        <v>1</v>
      </c>
      <c r="E31" s="7">
        <v>1</v>
      </c>
      <c r="F31" s="7">
        <v>1</v>
      </c>
      <c r="G31" s="7">
        <v>1</v>
      </c>
      <c r="H31" s="7">
        <v>0</v>
      </c>
    </row>
    <row r="34" spans="2:8">
      <c r="B34" s="24" t="s">
        <v>100</v>
      </c>
    </row>
    <row r="35" spans="2:8" ht="42">
      <c r="B35" s="6" t="s">
        <v>57</v>
      </c>
      <c r="C35" s="6" t="s">
        <v>86</v>
      </c>
      <c r="D35" s="6" t="s">
        <v>87</v>
      </c>
      <c r="E35" s="6" t="s">
        <v>88</v>
      </c>
      <c r="F35" s="6" t="s">
        <v>89</v>
      </c>
      <c r="G35" s="6" t="s">
        <v>90</v>
      </c>
      <c r="H35" s="6" t="s">
        <v>91</v>
      </c>
    </row>
    <row r="36" spans="2:8">
      <c r="B36" s="5" t="s">
        <v>62</v>
      </c>
      <c r="C36" s="11">
        <v>0.5</v>
      </c>
      <c r="D36" s="11">
        <v>0.5</v>
      </c>
      <c r="E36" s="11">
        <v>0.6</v>
      </c>
      <c r="F36" s="11">
        <v>0.7</v>
      </c>
      <c r="G36" s="11">
        <v>0.7</v>
      </c>
      <c r="H36" s="11">
        <v>0.5</v>
      </c>
    </row>
    <row r="37" spans="2:8">
      <c r="B37" s="5" t="s">
        <v>65</v>
      </c>
      <c r="C37" s="11">
        <v>1</v>
      </c>
      <c r="D37" s="11">
        <v>1</v>
      </c>
      <c r="E37" s="11">
        <v>0.8</v>
      </c>
      <c r="F37" s="11">
        <v>0.6</v>
      </c>
      <c r="G37" s="11">
        <v>0.4</v>
      </c>
      <c r="H37" s="11">
        <v>0.3</v>
      </c>
    </row>
    <row r="38" spans="2:8">
      <c r="B38" s="5" t="s">
        <v>94</v>
      </c>
      <c r="C38" s="11">
        <v>0.5</v>
      </c>
      <c r="D38" s="11">
        <v>1</v>
      </c>
      <c r="E38" s="11">
        <v>1</v>
      </c>
      <c r="F38" s="11">
        <v>1</v>
      </c>
      <c r="G38" s="11">
        <v>0.6</v>
      </c>
      <c r="H38" s="11">
        <v>0.4</v>
      </c>
    </row>
    <row r="39" spans="2:8">
      <c r="B39" s="5" t="s">
        <v>70</v>
      </c>
      <c r="C39" s="11">
        <v>0.5</v>
      </c>
      <c r="D39" s="11">
        <v>0.8</v>
      </c>
      <c r="E39" s="11">
        <v>1</v>
      </c>
      <c r="F39" s="11">
        <v>1</v>
      </c>
      <c r="G39" s="11">
        <v>0.6</v>
      </c>
      <c r="H39" s="11">
        <v>0</v>
      </c>
    </row>
    <row r="40" spans="2:8">
      <c r="B40" s="5" t="s">
        <v>95</v>
      </c>
      <c r="C40" s="11">
        <v>0.5</v>
      </c>
      <c r="D40" s="11">
        <v>0.8</v>
      </c>
      <c r="E40" s="11">
        <v>0.8</v>
      </c>
      <c r="F40" s="11">
        <v>0.8</v>
      </c>
      <c r="G40" s="11">
        <v>0.5</v>
      </c>
      <c r="H40" s="11">
        <v>0</v>
      </c>
    </row>
    <row r="41" spans="2:8">
      <c r="B41" s="5" t="s">
        <v>74</v>
      </c>
      <c r="C41" s="11">
        <v>0.5</v>
      </c>
      <c r="D41" s="11">
        <v>0.6</v>
      </c>
      <c r="E41" s="11">
        <v>1</v>
      </c>
      <c r="F41" s="11">
        <v>0.8</v>
      </c>
      <c r="G41" s="11">
        <v>0.5</v>
      </c>
      <c r="H41" s="11">
        <v>0</v>
      </c>
    </row>
    <row r="42" spans="2:8">
      <c r="B42" s="5" t="s">
        <v>77</v>
      </c>
      <c r="C42" s="11">
        <v>0.8</v>
      </c>
      <c r="D42" s="11">
        <v>0.8</v>
      </c>
      <c r="E42" s="11">
        <v>0.8</v>
      </c>
      <c r="F42" s="11">
        <v>0.8</v>
      </c>
      <c r="G42" s="11">
        <v>0.8</v>
      </c>
      <c r="H42" s="11">
        <v>0.5</v>
      </c>
    </row>
    <row r="43" spans="2:8">
      <c r="B43" s="5" t="s">
        <v>79</v>
      </c>
      <c r="C43" s="11">
        <v>0</v>
      </c>
      <c r="D43" s="11">
        <v>0</v>
      </c>
      <c r="E43" s="11">
        <v>0.5</v>
      </c>
      <c r="F43" s="11">
        <v>1</v>
      </c>
      <c r="G43" s="11">
        <v>1</v>
      </c>
      <c r="H43" s="11">
        <v>0.5</v>
      </c>
    </row>
    <row r="44" spans="2:8">
      <c r="B44" s="5" t="s">
        <v>81</v>
      </c>
      <c r="C44" s="11">
        <v>0.5</v>
      </c>
      <c r="D44" s="11">
        <v>0.5</v>
      </c>
      <c r="E44" s="11">
        <v>0.3</v>
      </c>
      <c r="F44" s="11">
        <v>0.5</v>
      </c>
      <c r="G44" s="11">
        <v>0.3</v>
      </c>
      <c r="H44" s="1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48"/>
  <sheetViews>
    <sheetView zoomScale="113" zoomScaleNormal="100" workbookViewId="0">
      <selection activeCell="B12" sqref="B12"/>
    </sheetView>
  </sheetViews>
  <sheetFormatPr defaultColWidth="8.7109375" defaultRowHeight="15"/>
  <cols>
    <col min="1" max="1" width="3" customWidth="1"/>
    <col min="2" max="2" width="36" customWidth="1"/>
    <col min="3" max="9" width="14" customWidth="1"/>
    <col min="10" max="11" width="16" customWidth="1"/>
  </cols>
  <sheetData>
    <row r="2" spans="2:11" ht="20.100000000000001">
      <c r="B2" s="1" t="s">
        <v>101</v>
      </c>
    </row>
    <row r="3" spans="2:11">
      <c r="B3" s="4" t="s">
        <v>102</v>
      </c>
    </row>
    <row r="5" spans="2:11" ht="15.95">
      <c r="B5" s="2" t="s">
        <v>103</v>
      </c>
    </row>
    <row r="6" spans="2:11" ht="42">
      <c r="B6" s="6" t="s">
        <v>57</v>
      </c>
      <c r="C6" s="6" t="s">
        <v>104</v>
      </c>
      <c r="D6" s="6" t="s">
        <v>86</v>
      </c>
      <c r="E6" s="6" t="s">
        <v>87</v>
      </c>
      <c r="F6" s="6" t="s">
        <v>88</v>
      </c>
      <c r="G6" s="6" t="s">
        <v>89</v>
      </c>
      <c r="H6" s="6" t="s">
        <v>90</v>
      </c>
      <c r="I6" s="6" t="s">
        <v>91</v>
      </c>
      <c r="J6" s="6" t="s">
        <v>105</v>
      </c>
      <c r="K6" s="6" t="s">
        <v>106</v>
      </c>
    </row>
    <row r="7" spans="2:11">
      <c r="B7" s="5" t="s">
        <v>62</v>
      </c>
      <c r="C7" s="25">
        <v>500</v>
      </c>
      <c r="D7" s="14">
        <f>'3. Phase Staffing'!C7*'1. Cover &amp; Assumptions'!$C$25*$C7</f>
        <v>2500</v>
      </c>
      <c r="E7" s="14">
        <f>'3. Phase Staffing'!D7*'1. Cover &amp; Assumptions'!$C$25*$C7</f>
        <v>2500</v>
      </c>
      <c r="F7" s="14">
        <f>'3. Phase Staffing'!E7*'1. Cover &amp; Assumptions'!$C$25*$C7</f>
        <v>6000</v>
      </c>
      <c r="G7" s="14">
        <f>'3. Phase Staffing'!F7*'1. Cover &amp; Assumptions'!$C$25*$C7</f>
        <v>3500</v>
      </c>
      <c r="H7" s="14">
        <f>'3. Phase Staffing'!G7*'1. Cover &amp; Assumptions'!$C$25*$C7</f>
        <v>7000</v>
      </c>
      <c r="I7" s="14">
        <f>'3. Phase Staffing'!H7*'1. Cover &amp; Assumptions'!$C$25*$C7</f>
        <v>2500</v>
      </c>
      <c r="J7" s="26">
        <f t="shared" ref="J7:J15" si="0">SUM(D7:I7)</f>
        <v>24000</v>
      </c>
      <c r="K7" s="15">
        <f>IFERROR(J7/$J$16,0)</f>
        <v>8.6736537766534158E-2</v>
      </c>
    </row>
    <row r="8" spans="2:11">
      <c r="B8" s="5" t="s">
        <v>65</v>
      </c>
      <c r="C8" s="25">
        <v>600</v>
      </c>
      <c r="D8" s="14">
        <f>'3. Phase Staffing'!C8*'1. Cover &amp; Assumptions'!$C$25*$C8</f>
        <v>6000</v>
      </c>
      <c r="E8" s="14">
        <f>'3. Phase Staffing'!D8*'1. Cover &amp; Assumptions'!$C$25*$C8</f>
        <v>6000</v>
      </c>
      <c r="F8" s="14">
        <f>'3. Phase Staffing'!E8*'1. Cover &amp; Assumptions'!$C$25*$C8</f>
        <v>9600</v>
      </c>
      <c r="G8" s="14">
        <f>'3. Phase Staffing'!F8*'1. Cover &amp; Assumptions'!$C$25*$C8</f>
        <v>3600</v>
      </c>
      <c r="H8" s="14">
        <f>'3. Phase Staffing'!G8*'1. Cover &amp; Assumptions'!$C$25*$C8</f>
        <v>4800</v>
      </c>
      <c r="I8" s="14">
        <f>'3. Phase Staffing'!H8*'1. Cover &amp; Assumptions'!$C$25*$C8</f>
        <v>1800</v>
      </c>
      <c r="J8" s="26">
        <f t="shared" si="0"/>
        <v>31800</v>
      </c>
      <c r="K8" s="15">
        <f>IFERROR(J8/$J$16,0)</f>
        <v>0.11492591254065775</v>
      </c>
    </row>
    <row r="9" spans="2:11">
      <c r="B9" s="5" t="s">
        <v>94</v>
      </c>
      <c r="C9" s="25">
        <v>600</v>
      </c>
      <c r="D9" s="14">
        <f>'3. Phase Staffing'!C9*'1. Cover &amp; Assumptions'!$C$25*$C9</f>
        <v>3000</v>
      </c>
      <c r="E9" s="14">
        <f>'3. Phase Staffing'!D9*'1. Cover &amp; Assumptions'!$C$25*$C9</f>
        <v>6000</v>
      </c>
      <c r="F9" s="14">
        <f>'3. Phase Staffing'!E9*'1. Cover &amp; Assumptions'!$C$25*$C9</f>
        <v>24000</v>
      </c>
      <c r="G9" s="14">
        <f>'3. Phase Staffing'!F9*'1. Cover &amp; Assumptions'!$C$25*$C9</f>
        <v>12000</v>
      </c>
      <c r="H9" s="14">
        <f>'3. Phase Staffing'!G9*'1. Cover &amp; Assumptions'!$C$25*$C9</f>
        <v>7200</v>
      </c>
      <c r="I9" s="14">
        <f>'3. Phase Staffing'!H9*'1. Cover &amp; Assumptions'!$C$25*$C9</f>
        <v>2400</v>
      </c>
      <c r="J9" s="26">
        <f t="shared" si="0"/>
        <v>54600</v>
      </c>
      <c r="K9" s="15">
        <f>IFERROR(J9/$J$16,0)</f>
        <v>0.1973256234188652</v>
      </c>
    </row>
    <row r="10" spans="2:11">
      <c r="B10" s="5" t="s">
        <v>70</v>
      </c>
      <c r="C10" s="25">
        <v>600</v>
      </c>
      <c r="D10" s="14">
        <f>'3. Phase Staffing'!C10*'1. Cover &amp; Assumptions'!$C$25*$C10</f>
        <v>3000</v>
      </c>
      <c r="E10" s="14">
        <f>'3. Phase Staffing'!D10*'1. Cover &amp; Assumptions'!$C$25*$C10</f>
        <v>4800</v>
      </c>
      <c r="F10" s="14">
        <f>'3. Phase Staffing'!E10*'1. Cover &amp; Assumptions'!$C$25*$C10</f>
        <v>24000</v>
      </c>
      <c r="G10" s="14">
        <f>'3. Phase Staffing'!F10*'1. Cover &amp; Assumptions'!$C$25*$C10</f>
        <v>6000</v>
      </c>
      <c r="H10" s="14">
        <f>'3. Phase Staffing'!G10*'1. Cover &amp; Assumptions'!$C$25*$C10</f>
        <v>7200</v>
      </c>
      <c r="I10" s="14">
        <f>'3. Phase Staffing'!H10*'1. Cover &amp; Assumptions'!$C$25*$C10</f>
        <v>0</v>
      </c>
      <c r="J10" s="26">
        <f t="shared" si="0"/>
        <v>45000</v>
      </c>
      <c r="K10" s="15">
        <f>IFERROR(J10/$J$16,0)</f>
        <v>0.16263100831225152</v>
      </c>
    </row>
    <row r="11" spans="2:11">
      <c r="B11" s="5" t="s">
        <v>95</v>
      </c>
      <c r="C11" s="25">
        <v>500</v>
      </c>
      <c r="D11" s="14">
        <f>'3. Phase Staffing'!C11*'1. Cover &amp; Assumptions'!$C$25*$C11</f>
        <v>2500</v>
      </c>
      <c r="E11" s="14">
        <f>'3. Phase Staffing'!D11*'1. Cover &amp; Assumptions'!$C$25*$C11</f>
        <v>4000</v>
      </c>
      <c r="F11" s="14">
        <f>'3. Phase Staffing'!E11*'1. Cover &amp; Assumptions'!$C$25*$C11</f>
        <v>8000</v>
      </c>
      <c r="G11" s="14">
        <f>'3. Phase Staffing'!F11*'1. Cover &amp; Assumptions'!$C$25*$C11</f>
        <v>4000</v>
      </c>
      <c r="H11" s="14">
        <f>'3. Phase Staffing'!G11*'1. Cover &amp; Assumptions'!$C$25*$C11</f>
        <v>5000</v>
      </c>
      <c r="I11" s="14">
        <f>'3. Phase Staffing'!H11*'1. Cover &amp; Assumptions'!$C$25*$C11</f>
        <v>0</v>
      </c>
      <c r="J11" s="26">
        <f t="shared" si="0"/>
        <v>23500</v>
      </c>
      <c r="K11" s="15">
        <f>IFERROR(J11/$J$16,0)</f>
        <v>8.4929526563064697E-2</v>
      </c>
    </row>
    <row r="12" spans="2:11">
      <c r="B12" s="5" t="s">
        <v>74</v>
      </c>
      <c r="C12" s="25">
        <v>400</v>
      </c>
      <c r="D12" s="14">
        <f>'3. Phase Staffing'!C12*'1. Cover &amp; Assumptions'!$C$25*$C12</f>
        <v>2000</v>
      </c>
      <c r="E12" s="14">
        <f>'3. Phase Staffing'!D12*'1. Cover &amp; Assumptions'!$C$25*$C12</f>
        <v>2400</v>
      </c>
      <c r="F12" s="14">
        <f>'3. Phase Staffing'!E12*'1. Cover &amp; Assumptions'!$C$25*$C12</f>
        <v>8000</v>
      </c>
      <c r="G12" s="14">
        <f>'3. Phase Staffing'!F12*'1. Cover &amp; Assumptions'!$C$25*$C12</f>
        <v>3200</v>
      </c>
      <c r="H12" s="14">
        <f>'3. Phase Staffing'!G12*'1. Cover &amp; Assumptions'!$C$25*$C12</f>
        <v>4000</v>
      </c>
      <c r="I12" s="14">
        <f>'3. Phase Staffing'!H12*'1. Cover &amp; Assumptions'!$C$25*$C12</f>
        <v>0</v>
      </c>
      <c r="J12" s="26">
        <f t="shared" si="0"/>
        <v>19600</v>
      </c>
      <c r="K12" s="15">
        <f>IFERROR(J12/$J$16,0)</f>
        <v>7.0834839176002889E-2</v>
      </c>
    </row>
    <row r="13" spans="2:11">
      <c r="B13" s="5" t="s">
        <v>77</v>
      </c>
      <c r="C13" s="25">
        <v>600</v>
      </c>
      <c r="D13" s="14">
        <f>'3. Phase Staffing'!C13*'1. Cover &amp; Assumptions'!$C$25*$C13</f>
        <v>4800</v>
      </c>
      <c r="E13" s="14">
        <f>'3. Phase Staffing'!D13*'1. Cover &amp; Assumptions'!$C$25*$C13</f>
        <v>9600</v>
      </c>
      <c r="F13" s="14">
        <f>'3. Phase Staffing'!E13*'1. Cover &amp; Assumptions'!$C$25*$C13</f>
        <v>9600</v>
      </c>
      <c r="G13" s="14">
        <f>'3. Phase Staffing'!F13*'1. Cover &amp; Assumptions'!$C$25*$C13</f>
        <v>4800</v>
      </c>
      <c r="H13" s="14">
        <f>'3. Phase Staffing'!G13*'1. Cover &amp; Assumptions'!$C$25*$C13</f>
        <v>9600</v>
      </c>
      <c r="I13" s="14">
        <f>'3. Phase Staffing'!H13*'1. Cover &amp; Assumptions'!$C$25*$C13</f>
        <v>3000</v>
      </c>
      <c r="J13" s="26">
        <f t="shared" si="0"/>
        <v>41400</v>
      </c>
      <c r="K13" s="15">
        <f>IFERROR(J13/$J$16,0)</f>
        <v>0.14962052764727141</v>
      </c>
    </row>
    <row r="14" spans="2:11">
      <c r="B14" s="5" t="s">
        <v>79</v>
      </c>
      <c r="C14" s="25">
        <v>400</v>
      </c>
      <c r="D14" s="14">
        <f>'3. Phase Staffing'!C14*'1. Cover &amp; Assumptions'!$C$25*$C14</f>
        <v>0</v>
      </c>
      <c r="E14" s="14">
        <f>'3. Phase Staffing'!D14*'1. Cover &amp; Assumptions'!$C$25*$C14</f>
        <v>0</v>
      </c>
      <c r="F14" s="14">
        <f>'3. Phase Staffing'!E14*'1. Cover &amp; Assumptions'!$C$25*$C14</f>
        <v>4000</v>
      </c>
      <c r="G14" s="14">
        <f>'3. Phase Staffing'!F14*'1. Cover &amp; Assumptions'!$C$25*$C14</f>
        <v>4000</v>
      </c>
      <c r="H14" s="14">
        <f>'3. Phase Staffing'!G14*'1. Cover &amp; Assumptions'!$C$25*$C14</f>
        <v>16000</v>
      </c>
      <c r="I14" s="14">
        <f>'3. Phase Staffing'!H14*'1. Cover &amp; Assumptions'!$C$25*$C14</f>
        <v>2000</v>
      </c>
      <c r="J14" s="26">
        <f t="shared" si="0"/>
        <v>26000</v>
      </c>
      <c r="K14" s="15">
        <f>IFERROR(J14/$J$16,0)</f>
        <v>9.3964582580412001E-2</v>
      </c>
    </row>
    <row r="15" spans="2:11">
      <c r="B15" s="5" t="s">
        <v>81</v>
      </c>
      <c r="C15" s="25">
        <v>400</v>
      </c>
      <c r="D15" s="14">
        <f>'3. Phase Staffing'!C15*'1. Cover &amp; Assumptions'!$C$25*$C15</f>
        <v>2000</v>
      </c>
      <c r="E15" s="14">
        <f>'3. Phase Staffing'!D15*'1. Cover &amp; Assumptions'!$C$25*$C15</f>
        <v>2000</v>
      </c>
      <c r="F15" s="14">
        <f>'3. Phase Staffing'!E15*'1. Cover &amp; Assumptions'!$C$25*$C15</f>
        <v>2400</v>
      </c>
      <c r="G15" s="14">
        <f>'3. Phase Staffing'!F15*'1. Cover &amp; Assumptions'!$C$25*$C15</f>
        <v>2000</v>
      </c>
      <c r="H15" s="14">
        <f>'3. Phase Staffing'!G15*'1. Cover &amp; Assumptions'!$C$25*$C15</f>
        <v>2400</v>
      </c>
      <c r="I15" s="14">
        <f>'3. Phase Staffing'!H15*'1. Cover &amp; Assumptions'!$C$25*$C15</f>
        <v>0</v>
      </c>
      <c r="J15" s="26">
        <f t="shared" si="0"/>
        <v>10800</v>
      </c>
      <c r="K15" s="15">
        <f>IFERROR(J15/$J$16,0)</f>
        <v>3.9031441994940366E-2</v>
      </c>
    </row>
    <row r="16" spans="2:11">
      <c r="B16" s="23" t="s">
        <v>107</v>
      </c>
      <c r="C16" s="27"/>
      <c r="D16" s="26">
        <f t="shared" ref="D16:J16" si="1">SUM(D7:D15)</f>
        <v>25800</v>
      </c>
      <c r="E16" s="26">
        <f t="shared" si="1"/>
        <v>37300</v>
      </c>
      <c r="F16" s="26">
        <f t="shared" si="1"/>
        <v>95600</v>
      </c>
      <c r="G16" s="26">
        <f t="shared" si="1"/>
        <v>43100</v>
      </c>
      <c r="H16" s="26">
        <f t="shared" si="1"/>
        <v>63200</v>
      </c>
      <c r="I16" s="26">
        <f t="shared" si="1"/>
        <v>11700</v>
      </c>
      <c r="J16" s="26">
        <f t="shared" si="1"/>
        <v>276700</v>
      </c>
      <c r="K16" s="28">
        <f>IFERROR(J16/J16,0)</f>
        <v>1</v>
      </c>
    </row>
    <row r="38" spans="3:3">
      <c r="C38" s="25"/>
    </row>
    <row r="39" spans="3:3">
      <c r="C39" s="25"/>
    </row>
    <row r="40" spans="3:3">
      <c r="C40" s="25"/>
    </row>
    <row r="41" spans="3:3">
      <c r="C41" s="25"/>
    </row>
    <row r="42" spans="3:3">
      <c r="C42" s="25"/>
    </row>
    <row r="43" spans="3:3">
      <c r="C43" s="25"/>
    </row>
    <row r="44" spans="3:3">
      <c r="C44" s="25"/>
    </row>
    <row r="45" spans="3:3">
      <c r="C45" s="25"/>
    </row>
    <row r="46" spans="3:3">
      <c r="C46" s="25"/>
    </row>
    <row r="47" spans="3:3">
      <c r="C47" s="25"/>
    </row>
    <row r="48" spans="3:3">
      <c r="C48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5"/>
  <sheetViews>
    <sheetView zoomScaleNormal="100" workbookViewId="0"/>
  </sheetViews>
  <sheetFormatPr defaultColWidth="8.7109375" defaultRowHeight="15"/>
  <cols>
    <col min="1" max="1" width="3" customWidth="1"/>
    <col min="2" max="2" width="38" customWidth="1"/>
    <col min="3" max="6" width="14" customWidth="1"/>
    <col min="7" max="7" width="50" customWidth="1"/>
  </cols>
  <sheetData>
    <row r="2" spans="2:7" ht="20.100000000000001">
      <c r="B2" s="1" t="s">
        <v>108</v>
      </c>
    </row>
    <row r="3" spans="2:7">
      <c r="B3" s="4" t="s">
        <v>109</v>
      </c>
    </row>
    <row r="5" spans="2:7" ht="27.95">
      <c r="B5" s="6" t="s">
        <v>110</v>
      </c>
      <c r="C5" s="6" t="s">
        <v>111</v>
      </c>
      <c r="D5" s="6" t="s">
        <v>112</v>
      </c>
      <c r="E5" s="6" t="s">
        <v>105</v>
      </c>
      <c r="F5" s="6" t="s">
        <v>113</v>
      </c>
      <c r="G5" s="6" t="s">
        <v>61</v>
      </c>
    </row>
    <row r="6" spans="2:7" ht="15.95">
      <c r="B6" s="5" t="s">
        <v>114</v>
      </c>
      <c r="C6" s="13">
        <v>15000</v>
      </c>
      <c r="D6" s="7">
        <v>4</v>
      </c>
      <c r="E6" s="14">
        <f t="shared" ref="E6:E14" si="0">C6*D6</f>
        <v>60000</v>
      </c>
      <c r="F6" s="8" t="s">
        <v>115</v>
      </c>
      <c r="G6" s="4" t="s">
        <v>116</v>
      </c>
    </row>
    <row r="7" spans="2:7" ht="15.95">
      <c r="B7" s="5" t="s">
        <v>117</v>
      </c>
      <c r="C7" s="13">
        <v>8000</v>
      </c>
      <c r="D7" s="7">
        <v>4</v>
      </c>
      <c r="E7" s="14">
        <f t="shared" si="0"/>
        <v>32000</v>
      </c>
      <c r="F7" s="8" t="s">
        <v>115</v>
      </c>
      <c r="G7" s="4" t="s">
        <v>118</v>
      </c>
    </row>
    <row r="8" spans="2:7" ht="15.95">
      <c r="B8" s="5" t="s">
        <v>119</v>
      </c>
      <c r="C8" s="13">
        <v>1500</v>
      </c>
      <c r="D8" s="7">
        <v>4</v>
      </c>
      <c r="E8" s="14">
        <f t="shared" si="0"/>
        <v>6000</v>
      </c>
      <c r="F8" s="8" t="s">
        <v>120</v>
      </c>
      <c r="G8" s="4" t="s">
        <v>121</v>
      </c>
    </row>
    <row r="9" spans="2:7" ht="15.95">
      <c r="B9" s="5" t="s">
        <v>122</v>
      </c>
      <c r="C9" s="13">
        <v>800</v>
      </c>
      <c r="D9" s="7">
        <v>4</v>
      </c>
      <c r="E9" s="14">
        <f t="shared" si="0"/>
        <v>3200</v>
      </c>
      <c r="F9" s="8" t="s">
        <v>120</v>
      </c>
      <c r="G9" s="4" t="s">
        <v>123</v>
      </c>
    </row>
    <row r="10" spans="2:7" ht="15.95">
      <c r="B10" s="5" t="s">
        <v>124</v>
      </c>
      <c r="C10" s="13">
        <v>2500</v>
      </c>
      <c r="D10" s="7">
        <v>4</v>
      </c>
      <c r="E10" s="14">
        <f t="shared" si="0"/>
        <v>10000</v>
      </c>
      <c r="F10" s="8" t="s">
        <v>120</v>
      </c>
      <c r="G10" s="4" t="s">
        <v>125</v>
      </c>
    </row>
    <row r="11" spans="2:7" ht="15.95">
      <c r="B11" s="5" t="s">
        <v>126</v>
      </c>
      <c r="C11" s="13">
        <v>25000</v>
      </c>
      <c r="D11" s="7">
        <v>1</v>
      </c>
      <c r="E11" s="14">
        <f t="shared" si="0"/>
        <v>25000</v>
      </c>
      <c r="F11" s="8" t="s">
        <v>127</v>
      </c>
      <c r="G11" s="4" t="s">
        <v>128</v>
      </c>
    </row>
    <row r="12" spans="2:7" ht="15.95">
      <c r="B12" s="5" t="s">
        <v>129</v>
      </c>
      <c r="C12" s="13">
        <v>9000</v>
      </c>
      <c r="D12" s="7">
        <v>4</v>
      </c>
      <c r="E12" s="14">
        <f t="shared" si="0"/>
        <v>36000</v>
      </c>
      <c r="F12" s="8" t="s">
        <v>130</v>
      </c>
      <c r="G12" s="4" t="s">
        <v>131</v>
      </c>
    </row>
    <row r="13" spans="2:7" ht="15.95">
      <c r="B13" s="5" t="s">
        <v>132</v>
      </c>
      <c r="C13" s="13">
        <v>5000</v>
      </c>
      <c r="D13" s="7">
        <v>1</v>
      </c>
      <c r="E13" s="14">
        <f t="shared" si="0"/>
        <v>5000</v>
      </c>
      <c r="F13" s="8" t="s">
        <v>133</v>
      </c>
      <c r="G13" s="4" t="s">
        <v>134</v>
      </c>
    </row>
    <row r="14" spans="2:7" ht="15.95">
      <c r="B14" s="5" t="s">
        <v>135</v>
      </c>
      <c r="C14" s="13">
        <v>3000</v>
      </c>
      <c r="D14" s="7">
        <v>4</v>
      </c>
      <c r="E14" s="14">
        <f t="shared" si="0"/>
        <v>12000</v>
      </c>
      <c r="F14" s="8" t="s">
        <v>136</v>
      </c>
      <c r="G14" s="4" t="s">
        <v>137</v>
      </c>
    </row>
    <row r="15" spans="2:7">
      <c r="B15" s="23" t="s">
        <v>138</v>
      </c>
      <c r="E15" s="26">
        <f>SUM(E6:E14)</f>
        <v>189200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9"/>
  <sheetViews>
    <sheetView zoomScaleNormal="100" workbookViewId="0"/>
  </sheetViews>
  <sheetFormatPr defaultColWidth="8.7109375" defaultRowHeight="15"/>
  <cols>
    <col min="1" max="1" width="3" customWidth="1"/>
    <col min="2" max="2" width="50" customWidth="1"/>
    <col min="3" max="3" width="27.42578125" customWidth="1"/>
    <col min="4" max="4" width="50" customWidth="1"/>
  </cols>
  <sheetData>
    <row r="2" spans="2:4" ht="20.100000000000001">
      <c r="B2" s="1" t="s">
        <v>139</v>
      </c>
    </row>
    <row r="3" spans="2:4">
      <c r="B3" s="4" t="s">
        <v>140</v>
      </c>
    </row>
    <row r="5" spans="2:4">
      <c r="B5" s="6" t="s">
        <v>141</v>
      </c>
      <c r="C5" s="6" t="s">
        <v>142</v>
      </c>
      <c r="D5" s="6" t="s">
        <v>61</v>
      </c>
    </row>
    <row r="6" spans="2:4">
      <c r="B6" t="s">
        <v>143</v>
      </c>
      <c r="C6" s="25">
        <f>'4. Phase Effort &amp; Cost'!$J$16</f>
        <v>276700</v>
      </c>
      <c r="D6" s="4" t="s">
        <v>144</v>
      </c>
    </row>
    <row r="7" spans="2:4">
      <c r="B7" t="s">
        <v>145</v>
      </c>
      <c r="C7" s="25">
        <f>'5. Other Costs'!$E$15</f>
        <v>189200</v>
      </c>
      <c r="D7" s="4" t="s">
        <v>146</v>
      </c>
    </row>
    <row r="8" spans="2:4">
      <c r="B8" s="23" t="s">
        <v>147</v>
      </c>
      <c r="C8" s="26">
        <f>C6+C7</f>
        <v>465900</v>
      </c>
      <c r="D8" s="4" t="s">
        <v>148</v>
      </c>
    </row>
    <row r="9" spans="2:4">
      <c r="B9" t="s">
        <v>39</v>
      </c>
      <c r="C9" s="14">
        <f>C8*'1. Cover &amp; Assumptions'!$C$30</f>
        <v>46590</v>
      </c>
      <c r="D9" s="4" t="s">
        <v>149</v>
      </c>
    </row>
    <row r="10" spans="2:4">
      <c r="B10" s="23" t="s">
        <v>150</v>
      </c>
      <c r="C10" s="26">
        <f>C8+C9</f>
        <v>512490</v>
      </c>
      <c r="D10" s="4" t="s">
        <v>151</v>
      </c>
    </row>
    <row r="11" spans="2:4">
      <c r="B11" t="s">
        <v>152</v>
      </c>
      <c r="C11" s="14">
        <f>C10/(1-'1. Cover &amp; Assumptions'!$C$29)-C10</f>
        <v>275956.15384615387</v>
      </c>
      <c r="D11" s="4" t="s">
        <v>153</v>
      </c>
    </row>
    <row r="12" spans="2:4">
      <c r="B12" s="29" t="s">
        <v>154</v>
      </c>
      <c r="C12" s="30">
        <f>C10+C11</f>
        <v>788446.15384615387</v>
      </c>
      <c r="D12" s="4" t="s">
        <v>155</v>
      </c>
    </row>
    <row r="13" spans="2:4">
      <c r="B13" t="s">
        <v>156</v>
      </c>
      <c r="C13" s="15">
        <f>IFERROR((C12-C10)/C12,0)</f>
        <v>0.35000000000000003</v>
      </c>
      <c r="D13" s="4" t="s">
        <v>157</v>
      </c>
    </row>
    <row r="15" spans="2:4">
      <c r="B15" t="s">
        <v>158</v>
      </c>
      <c r="C15" s="14">
        <f>C12*'1. Cover &amp; Assumptions'!$C$32</f>
        <v>157689.23076923078</v>
      </c>
      <c r="D15" s="4" t="s">
        <v>159</v>
      </c>
    </row>
    <row r="16" spans="2:4">
      <c r="B16" s="23" t="s">
        <v>160</v>
      </c>
      <c r="C16" s="26">
        <f>C12+C15</f>
        <v>946135.38461538462</v>
      </c>
      <c r="D16" s="4" t="s">
        <v>161</v>
      </c>
    </row>
    <row r="18" spans="2:4">
      <c r="B18" t="s">
        <v>162</v>
      </c>
      <c r="C18" s="14">
        <f>C10*'1. Cover &amp; Assumptions'!$C$31</f>
        <v>25624.5</v>
      </c>
      <c r="D18" s="4" t="s">
        <v>163</v>
      </c>
    </row>
    <row r="19" spans="2:4">
      <c r="B19" s="23" t="s">
        <v>164</v>
      </c>
      <c r="C19" s="26">
        <f>C12-C10-C18</f>
        <v>250331.65384615387</v>
      </c>
      <c r="D19" s="4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1"/>
  <sheetViews>
    <sheetView zoomScaleNormal="100" workbookViewId="0">
      <selection activeCell="F30" sqref="F30"/>
    </sheetView>
  </sheetViews>
  <sheetFormatPr defaultColWidth="8.7109375" defaultRowHeight="15"/>
  <cols>
    <col min="1" max="1" width="3" customWidth="1"/>
    <col min="2" max="2" width="26.140625" customWidth="1"/>
    <col min="3" max="3" width="30" customWidth="1"/>
    <col min="4" max="4" width="14" customWidth="1"/>
    <col min="5" max="5" width="16" customWidth="1"/>
    <col min="6" max="6" width="18" customWidth="1"/>
    <col min="7" max="7" width="50" customWidth="1"/>
  </cols>
  <sheetData>
    <row r="2" spans="2:7" ht="20.100000000000001">
      <c r="B2" s="1" t="s">
        <v>166</v>
      </c>
    </row>
    <row r="3" spans="2:7">
      <c r="B3" s="4" t="s">
        <v>167</v>
      </c>
    </row>
    <row r="5" spans="2:7">
      <c r="B5" s="6" t="s">
        <v>168</v>
      </c>
      <c r="C5" s="6" t="s">
        <v>169</v>
      </c>
      <c r="D5" s="6" t="s">
        <v>170</v>
      </c>
      <c r="E5" s="6" t="s">
        <v>171</v>
      </c>
      <c r="F5" s="6" t="s">
        <v>172</v>
      </c>
      <c r="G5" s="6" t="s">
        <v>173</v>
      </c>
    </row>
    <row r="6" spans="2:7" ht="15.95">
      <c r="B6" s="8">
        <v>1</v>
      </c>
      <c r="C6" s="5" t="s">
        <v>174</v>
      </c>
      <c r="D6" s="11">
        <v>0.25</v>
      </c>
      <c r="E6" s="8" t="s">
        <v>175</v>
      </c>
      <c r="F6" s="14">
        <f>D6*'6. Pricing Summary'!$C$12</f>
        <v>197111.53846153847</v>
      </c>
      <c r="G6" s="4" t="s">
        <v>176</v>
      </c>
    </row>
    <row r="7" spans="2:7" ht="15.95">
      <c r="B7" s="8">
        <v>2</v>
      </c>
      <c r="C7" s="5" t="s">
        <v>177</v>
      </c>
      <c r="D7" s="11">
        <v>0.3</v>
      </c>
      <c r="E7" s="8" t="s">
        <v>178</v>
      </c>
      <c r="F7" s="14">
        <f>D7*'6. Pricing Summary'!$C$12</f>
        <v>236533.84615384616</v>
      </c>
      <c r="G7" s="4" t="s">
        <v>179</v>
      </c>
    </row>
    <row r="8" spans="2:7" ht="15.95">
      <c r="B8" s="8">
        <v>3</v>
      </c>
      <c r="C8" s="5" t="s">
        <v>180</v>
      </c>
      <c r="D8" s="11">
        <v>0.3</v>
      </c>
      <c r="E8" s="8" t="s">
        <v>181</v>
      </c>
      <c r="F8" s="14">
        <f>D8*'6. Pricing Summary'!$C$12</f>
        <v>236533.84615384616</v>
      </c>
      <c r="G8" s="4" t="s">
        <v>182</v>
      </c>
    </row>
    <row r="9" spans="2:7" ht="15.95">
      <c r="B9" s="8">
        <v>4</v>
      </c>
      <c r="C9" s="5" t="s">
        <v>183</v>
      </c>
      <c r="D9" s="11">
        <v>0.15</v>
      </c>
      <c r="E9" s="8" t="s">
        <v>184</v>
      </c>
      <c r="F9" s="14">
        <f>D9*'6. Pricing Summary'!$C$12</f>
        <v>118266.92307692308</v>
      </c>
      <c r="G9" s="4" t="s">
        <v>185</v>
      </c>
    </row>
    <row r="10" spans="2:7">
      <c r="C10" s="23" t="s">
        <v>186</v>
      </c>
      <c r="D10" s="31">
        <f>SUM(D6:D9)</f>
        <v>1</v>
      </c>
      <c r="F10" s="26">
        <f>SUM(F6:F9)</f>
        <v>788446.15384615387</v>
      </c>
    </row>
    <row r="14" spans="2:7" ht="15.95">
      <c r="B14" s="2" t="s">
        <v>187</v>
      </c>
    </row>
    <row r="15" spans="2:7">
      <c r="B15" s="6" t="s">
        <v>188</v>
      </c>
      <c r="C15" s="6" t="s">
        <v>189</v>
      </c>
      <c r="D15" s="6" t="s">
        <v>190</v>
      </c>
      <c r="E15" s="6" t="s">
        <v>191</v>
      </c>
      <c r="F15" s="6" t="s">
        <v>192</v>
      </c>
      <c r="G15" s="6" t="s">
        <v>193</v>
      </c>
    </row>
    <row r="16" spans="2:7">
      <c r="B16" s="32" t="s">
        <v>194</v>
      </c>
      <c r="C16" s="33">
        <f>F6</f>
        <v>197111.53846153847</v>
      </c>
      <c r="D16" s="33">
        <f>F7</f>
        <v>236533.84615384616</v>
      </c>
      <c r="E16" s="33">
        <v>0</v>
      </c>
      <c r="F16" s="33">
        <f>F8</f>
        <v>236533.84615384616</v>
      </c>
      <c r="G16" s="33">
        <f>F9</f>
        <v>118266.92307692308</v>
      </c>
    </row>
    <row r="17" spans="2:7">
      <c r="B17" s="34" t="s">
        <v>195</v>
      </c>
      <c r="C17" s="35">
        <v>0</v>
      </c>
      <c r="D17" s="36">
        <f>'4. Phase Effort &amp; Cost'!D16+'4. Phase Effort &amp; Cost'!E16+'5. Other Costs'!$E$15*0.2</f>
        <v>100940</v>
      </c>
      <c r="E17" s="36">
        <f>'4. Phase Effort &amp; Cost'!F16+'5. Other Costs'!$E$15*0.3</f>
        <v>152360</v>
      </c>
      <c r="F17" s="36">
        <f>'4. Phase Effort &amp; Cost'!G16+'4. Phase Effort &amp; Cost'!H16*0.5+'5. Other Costs'!$E$15*0.3</f>
        <v>131460</v>
      </c>
      <c r="G17" s="36">
        <f>'4. Phase Effort &amp; Cost'!H16*0.5+'4. Phase Effort &amp; Cost'!I16+'5. Other Costs'!$E$15*0.2</f>
        <v>81140</v>
      </c>
    </row>
    <row r="18" spans="2:7">
      <c r="B18" s="23" t="s">
        <v>196</v>
      </c>
      <c r="C18" s="26">
        <f>C16-C17</f>
        <v>197111.53846153847</v>
      </c>
      <c r="D18" s="26">
        <f>D16-D17</f>
        <v>135593.84615384616</v>
      </c>
      <c r="E18" s="26">
        <f>E16-E17</f>
        <v>-152360</v>
      </c>
      <c r="F18" s="26">
        <f>F16-F17</f>
        <v>105073.84615384616</v>
      </c>
      <c r="G18" s="26">
        <f>G16-G17</f>
        <v>37126.923076923078</v>
      </c>
    </row>
    <row r="19" spans="2:7">
      <c r="B19" s="23" t="s">
        <v>197</v>
      </c>
      <c r="C19" s="26">
        <f>C18</f>
        <v>197111.53846153847</v>
      </c>
      <c r="D19" s="26">
        <f>C19+D18</f>
        <v>332705.38461538462</v>
      </c>
      <c r="E19" s="26">
        <f>D19+E18</f>
        <v>180345.38461538462</v>
      </c>
      <c r="F19" s="26">
        <f>E19+F18</f>
        <v>285419.23076923075</v>
      </c>
      <c r="G19" s="26">
        <f>F19+G18</f>
        <v>322546.15384615381</v>
      </c>
    </row>
    <row r="21" spans="2:7">
      <c r="B21" s="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4"/>
  <sheetViews>
    <sheetView zoomScaleNormal="100" workbookViewId="0">
      <selection activeCell="D17" sqref="D17"/>
    </sheetView>
  </sheetViews>
  <sheetFormatPr defaultColWidth="8.7109375" defaultRowHeight="15"/>
  <cols>
    <col min="1" max="1" width="3" customWidth="1"/>
    <col min="2" max="2" width="38" customWidth="1"/>
    <col min="3" max="5" width="18" customWidth="1"/>
    <col min="6" max="6" width="60" customWidth="1"/>
  </cols>
  <sheetData>
    <row r="2" spans="2:7" ht="20.100000000000001">
      <c r="B2" s="1" t="s">
        <v>199</v>
      </c>
    </row>
    <row r="3" spans="2:7">
      <c r="B3" s="4" t="s">
        <v>200</v>
      </c>
    </row>
    <row r="5" spans="2:7">
      <c r="B5" s="6" t="s">
        <v>201</v>
      </c>
      <c r="C5" s="6" t="s">
        <v>202</v>
      </c>
      <c r="D5" s="6" t="s">
        <v>203</v>
      </c>
      <c r="E5" s="6" t="s">
        <v>204</v>
      </c>
      <c r="F5" s="6" t="s">
        <v>150</v>
      </c>
      <c r="G5" s="6" t="s">
        <v>61</v>
      </c>
    </row>
    <row r="6" spans="2:7">
      <c r="B6" s="5" t="s">
        <v>205</v>
      </c>
      <c r="C6" s="37">
        <v>0.85</v>
      </c>
      <c r="D6" s="14">
        <f>'4. Phase Effort &amp; Cost'!$J$16*C6</f>
        <v>235195</v>
      </c>
      <c r="E6" s="37">
        <v>0.9</v>
      </c>
      <c r="F6" s="14">
        <f>(D6+'5. Other Costs'!$E$15*E6)*(1+'1. Cover &amp; Assumptions'!$C$30)</f>
        <v>446022.50000000006</v>
      </c>
      <c r="G6" s="4" t="s">
        <v>206</v>
      </c>
    </row>
    <row r="7" spans="2:7">
      <c r="B7" s="38" t="s">
        <v>207</v>
      </c>
      <c r="C7" s="37">
        <v>1</v>
      </c>
      <c r="D7" s="14">
        <f>'4. Phase Effort &amp; Cost'!$J$16*C7</f>
        <v>276700</v>
      </c>
      <c r="E7" s="37">
        <v>1</v>
      </c>
      <c r="F7" s="14">
        <f>(D7+'5. Other Costs'!$E$15*E7)*(1+'1. Cover &amp; Assumptions'!$C$30)</f>
        <v>512490.00000000006</v>
      </c>
      <c r="G7" s="4" t="s">
        <v>208</v>
      </c>
    </row>
    <row r="8" spans="2:7">
      <c r="B8" s="5" t="s">
        <v>209</v>
      </c>
      <c r="C8" s="37">
        <v>1.3</v>
      </c>
      <c r="D8" s="14">
        <f>'4. Phase Effort &amp; Cost'!$J$16*C8</f>
        <v>359710</v>
      </c>
      <c r="E8" s="37">
        <v>1.2</v>
      </c>
      <c r="F8" s="14">
        <f>(D8+'5. Other Costs'!$E$15*E8)*(1+'1. Cover &amp; Assumptions'!$C$30)</f>
        <v>645425</v>
      </c>
      <c r="G8" s="4" t="s">
        <v>210</v>
      </c>
    </row>
    <row r="11" spans="2:7" ht="27.95">
      <c r="B11" s="6" t="s">
        <v>201</v>
      </c>
      <c r="C11" s="6" t="s">
        <v>150</v>
      </c>
      <c r="D11" s="6" t="s">
        <v>211</v>
      </c>
      <c r="E11" s="6" t="s">
        <v>212</v>
      </c>
      <c r="F11" s="6" t="s">
        <v>213</v>
      </c>
      <c r="G11" s="6" t="s">
        <v>61</v>
      </c>
    </row>
    <row r="12" spans="2:7">
      <c r="B12" s="5" t="s">
        <v>205</v>
      </c>
      <c r="C12" s="14">
        <f>F6</f>
        <v>446022.50000000006</v>
      </c>
      <c r="D12" s="14">
        <f>C12/(1-'1. Cover &amp; Assumptions'!$C$29)-C12</f>
        <v>240165.96153846156</v>
      </c>
      <c r="E12" s="26">
        <f>C12+D12</f>
        <v>686188.46153846162</v>
      </c>
      <c r="F12" s="39">
        <f>IFERROR(E12/'6. Pricing Summary'!$C$12-1,0)</f>
        <v>-0.12969521356514269</v>
      </c>
      <c r="G12" s="4" t="s">
        <v>206</v>
      </c>
    </row>
    <row r="13" spans="2:7">
      <c r="B13" s="38" t="s">
        <v>207</v>
      </c>
      <c r="C13" s="14">
        <f>F7</f>
        <v>512490.00000000006</v>
      </c>
      <c r="D13" s="14">
        <f>C13/(1-'1. Cover &amp; Assumptions'!$C$29)-C13</f>
        <v>275956.15384615381</v>
      </c>
      <c r="E13" s="26">
        <f>C13+D13</f>
        <v>788446.15384615387</v>
      </c>
      <c r="F13" s="39">
        <f>IFERROR(E13/'6. Pricing Summary'!$C$12-1,0)</f>
        <v>0</v>
      </c>
      <c r="G13" s="4" t="s">
        <v>208</v>
      </c>
    </row>
    <row r="14" spans="2:7">
      <c r="B14" s="5" t="s">
        <v>209</v>
      </c>
      <c r="C14" s="14">
        <f>F8</f>
        <v>645425</v>
      </c>
      <c r="D14" s="14">
        <f>C14/(1-'1. Cover &amp; Assumptions'!$C$29)-C14</f>
        <v>347536.53846153838</v>
      </c>
      <c r="E14" s="26">
        <f>C14+D14</f>
        <v>992961.53846153838</v>
      </c>
      <c r="F14" s="39">
        <f>IFERROR(E14/'6. Pricing Summary'!$C$12-1,0)</f>
        <v>0.25939042713028537</v>
      </c>
      <c r="G14" s="4" t="s"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4934c-c49e-4a31-92ea-efb2662fafe0" xsi:nil="true"/>
    <lcf76f155ced4ddcb4097134ff3c332f xmlns="05d10b53-af47-441c-88d8-9c2e234308f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864A16624E449E0F765391B7693B" ma:contentTypeVersion="14" ma:contentTypeDescription="Create a new document." ma:contentTypeScope="" ma:versionID="16fa6b5faa651b21d1790950da586400">
  <xsd:schema xmlns:xsd="http://www.w3.org/2001/XMLSchema" xmlns:xs="http://www.w3.org/2001/XMLSchema" xmlns:p="http://schemas.microsoft.com/office/2006/metadata/properties" xmlns:ns2="05d10b53-af47-441c-88d8-9c2e234308f5" xmlns:ns3="9474934c-c49e-4a31-92ea-efb2662fafe0" targetNamespace="http://schemas.microsoft.com/office/2006/metadata/properties" ma:root="true" ma:fieldsID="e75562e417b51fa01685c77e4b42d231" ns2:_="" ns3:_="">
    <xsd:import namespace="05d10b53-af47-441c-88d8-9c2e234308f5"/>
    <xsd:import namespace="9474934c-c49e-4a31-92ea-efb2662faf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10b53-af47-441c-88d8-9c2e23430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9f0acb-ef42-44a5-839a-a57403e485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4934c-c49e-4a31-92ea-efb2662faf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01322a-9444-473e-bf84-2422bea52949}" ma:internalName="TaxCatchAll" ma:showField="CatchAllData" ma:web="9474934c-c49e-4a31-92ea-efb2662f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92859A-296B-4D63-B4EB-53721800D197}"/>
</file>

<file path=customXml/itemProps2.xml><?xml version="1.0" encoding="utf-8"?>
<ds:datastoreItem xmlns:ds="http://schemas.openxmlformats.org/officeDocument/2006/customXml" ds:itemID="{3001582D-B534-4EC0-9055-CA99199878E9}"/>
</file>

<file path=customXml/itemProps3.xml><?xml version="1.0" encoding="utf-8"?>
<ds:datastoreItem xmlns:ds="http://schemas.openxmlformats.org/officeDocument/2006/customXml" ds:itemID="{E056B7E9-0E72-4425-918E-C1BB238D8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Castro</cp:lastModifiedBy>
  <cp:revision>0</cp:revision>
  <dcterms:created xsi:type="dcterms:W3CDTF">2026-04-30T15:57:15Z</dcterms:created>
  <dcterms:modified xsi:type="dcterms:W3CDTF">2026-05-04T15:02:39Z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0x0101007A9C864A16624E449E0F765391B7693B</vt:lpwstr>
  </property>
  <property fmtid="{D5CDD505-2E9C-101B-9397-08002B2CF9AE}" pid="3" name="MediaServiceImageTags">
    <vt:lpwstr/>
  </property>
</Properties>
</file>