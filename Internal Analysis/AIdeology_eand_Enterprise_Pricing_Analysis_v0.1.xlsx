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Executive Summary" sheetId="1" state="visible" r:id="rId1"/>
    <sheet xmlns:r="http://schemas.openxmlformats.org/officeDocument/2006/relationships" name="1. Cover &amp; Assumptions" sheetId="2" state="visible" r:id="rId2"/>
    <sheet xmlns:r="http://schemas.openxmlformats.org/officeDocument/2006/relationships" name="2. Roles &amp; Rates" sheetId="3" state="visible" r:id="rId3"/>
    <sheet xmlns:r="http://schemas.openxmlformats.org/officeDocument/2006/relationships" name="3. Wave E0 - Platform" sheetId="4" state="visible" r:id="rId4"/>
    <sheet xmlns:r="http://schemas.openxmlformats.org/officeDocument/2006/relationships" name="4. Tier 1 - Adapted Agents" sheetId="5" state="visible" r:id="rId5"/>
    <sheet xmlns:r="http://schemas.openxmlformats.org/officeDocument/2006/relationships" name="5. Tier 2 - Custom AI" sheetId="6" state="visible" r:id="rId6"/>
    <sheet xmlns:r="http://schemas.openxmlformats.org/officeDocument/2006/relationships" name="6. Tier 3 - Sovereign OnPrem" sheetId="7" state="visible" r:id="rId7"/>
    <sheet xmlns:r="http://schemas.openxmlformats.org/officeDocument/2006/relationships" name="7. Custom Bespoke" sheetId="8" state="visible" r:id="rId8"/>
    <sheet xmlns:r="http://schemas.openxmlformats.org/officeDocument/2006/relationships" name="8. Pricing Summary" sheetId="9" state="visible" r:id="rId9"/>
    <sheet xmlns:r="http://schemas.openxmlformats.org/officeDocument/2006/relationships" name="9. Revenue Forecast" sheetId="10" state="visible" r:id="rId10"/>
    <sheet xmlns:r="http://schemas.openxmlformats.org/officeDocument/2006/relationships" name="10. HPC RA Library" sheetId="11" state="visible" r:id="rId11"/>
    <sheet xmlns:r="http://schemas.openxmlformats.org/officeDocument/2006/relationships" name="11. Sensitiv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FF1F3A5F"/>
      <sz val="24"/>
    </font>
    <font>
      <name val="Calibri"/>
      <color rgb="FF444444"/>
      <sz val="11"/>
    </font>
    <font>
      <name val="Calibri"/>
      <b val="1"/>
      <color rgb="FFFFFFFF"/>
      <sz val="13"/>
    </font>
    <font>
      <name val="Calibri"/>
      <color rgb="FF808080"/>
      <sz val="11"/>
    </font>
    <font>
      <name val="Calibri"/>
      <b val="1"/>
      <color rgb="FF1F3A5F"/>
      <sz val="14"/>
    </font>
    <font>
      <name val="Calibri"/>
      <b val="1"/>
      <color rgb="FF000000"/>
      <sz val="10"/>
    </font>
    <font>
      <name val="Calibri"/>
      <b val="1"/>
      <color rgb="FF000000"/>
      <sz val="11"/>
    </font>
    <font>
      <name val="Calibri"/>
      <b val="1"/>
      <color rgb="FF1B5E20"/>
      <sz val="11"/>
    </font>
    <font>
      <name val="Calibri"/>
      <b val="1"/>
      <color rgb="FF1F3A5F"/>
      <sz val="16"/>
    </font>
    <font>
      <name val="Calibri"/>
      <i val="1"/>
      <color rgb="FF808080"/>
      <sz val="11"/>
    </font>
    <font>
      <name val="Calibri"/>
      <i val="1"/>
      <color rgb="FFC8102E"/>
      <sz val="10"/>
    </font>
    <font>
      <name val="Calibri"/>
      <color rgb="FF808080"/>
      <sz val="10"/>
    </font>
    <font>
      <name val="Calibri"/>
      <b val="1"/>
      <color rgb="FF2E75B6"/>
      <sz val="12"/>
    </font>
    <font>
      <name val="Calibri"/>
      <b val="1"/>
      <color rgb="FFFFFFFF"/>
      <sz val="10"/>
    </font>
    <font>
      <name val="Calibri"/>
      <color rgb="FF0000FF"/>
      <sz val="10"/>
    </font>
    <font>
      <name val="Calibri"/>
      <color rgb="FF000000"/>
      <sz val="10"/>
    </font>
    <font>
      <name val="Calibri"/>
      <i val="1"/>
      <color rgb="FF2E75B6"/>
      <sz val="11"/>
    </font>
    <font>
      <name val="Calibri"/>
      <b val="1"/>
      <color rgb="FF1F3A5F"/>
      <sz val="11"/>
    </font>
    <font>
      <name val="Calibri"/>
      <color rgb="FF008000"/>
      <sz val="10"/>
    </font>
    <font>
      <name val="Calibri"/>
      <b val="1"/>
      <color rgb="FF1F3A5F"/>
      <sz val="12"/>
    </font>
  </fonts>
  <fills count="10">
    <fill>
      <patternFill/>
    </fill>
    <fill>
      <patternFill patternType="gray125"/>
    </fill>
    <fill>
      <patternFill patternType="solid">
        <fgColor rgb="FF7A52F4"/>
      </patternFill>
    </fill>
    <fill>
      <patternFill patternType="solid">
        <fgColor rgb="FFEEEAFE"/>
      </patternFill>
    </fill>
    <fill>
      <patternFill patternType="solid">
        <fgColor rgb="FFE8F5E9"/>
      </patternFill>
    </fill>
    <fill>
      <patternFill patternType="solid">
        <fgColor rgb="FFE8F0FE"/>
      </patternFill>
    </fill>
    <fill>
      <patternFill patternType="solid">
        <fgColor rgb="FF1F3A5F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164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164" fontId="5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15" fillId="7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right" vertical="center" wrapText="1"/>
    </xf>
    <xf numFmtId="4" fontId="15" fillId="7" borderId="1" applyAlignment="1" pivotButton="0" quotePrefix="0" xfId="0">
      <alignment horizontal="right" vertical="center" wrapText="1"/>
    </xf>
    <xf numFmtId="165" fontId="15" fillId="7" borderId="1" applyAlignment="1" pivotButton="0" quotePrefix="0" xfId="0">
      <alignment horizontal="right" vertical="center" wrapText="1"/>
    </xf>
    <xf numFmtId="0" fontId="17" fillId="0" borderId="0" pivotButton="0" quotePrefix="0" xfId="0"/>
    <xf numFmtId="164" fontId="15" fillId="7" borderId="1" applyAlignment="1" pivotButton="0" quotePrefix="0" xfId="0">
      <alignment horizontal="right" vertical="center" wrapText="1"/>
    </xf>
    <xf numFmtId="0" fontId="6" fillId="0" borderId="0" pivotButton="0" quotePrefix="0" xfId="0"/>
    <xf numFmtId="1" fontId="15" fillId="7" borderId="1" applyAlignment="1" pivotButton="0" quotePrefix="0" xfId="0">
      <alignment horizontal="right" vertical="center" wrapText="1"/>
    </xf>
    <xf numFmtId="1" fontId="6" fillId="8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6" fillId="8" borderId="1" pivotButton="0" quotePrefix="0" xfId="0"/>
    <xf numFmtId="1" fontId="18" fillId="8" borderId="1" applyAlignment="1" pivotButton="0" quotePrefix="0" xfId="0">
      <alignment horizontal="right" vertical="center" wrapText="1"/>
    </xf>
    <xf numFmtId="164" fontId="18" fillId="8" borderId="1" applyAlignment="1" pivotButton="0" quotePrefix="0" xfId="0">
      <alignment horizontal="right" vertical="center" wrapText="1"/>
    </xf>
    <xf numFmtId="0" fontId="12" fillId="0" borderId="1" pivotButton="0" quotePrefix="0" xfId="0"/>
    <xf numFmtId="164" fontId="6" fillId="8" borderId="1" applyAlignment="1" pivotButton="0" quotePrefix="0" xfId="0">
      <alignment horizontal="right" vertical="center" wrapText="1"/>
    </xf>
    <xf numFmtId="164" fontId="19" fillId="9" borderId="1" applyAlignment="1" pivotButton="0" quotePrefix="0" xfId="0">
      <alignment horizontal="right" vertical="center" wrapText="1"/>
    </xf>
    <xf numFmtId="164" fontId="20" fillId="8" borderId="1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4" fillId="2" borderId="1" applyAlignment="1" pivotButton="0" quotePrefix="0" xfId="0">
      <alignment horizontal="center" vertical="center" wrapText="1"/>
    </xf>
    <xf numFmtId="3" fontId="19" fillId="9" borderId="1" applyAlignment="1" pivotButton="0" quotePrefix="0" xfId="0">
      <alignment horizontal="right" vertical="center" wrapText="1"/>
    </xf>
    <xf numFmtId="3" fontId="6" fillId="8" borderId="1" applyAlignment="1" pivotButton="0" quotePrefix="0" xfId="0">
      <alignment horizontal="right" vertical="center" wrapText="1"/>
    </xf>
    <xf numFmtId="166" fontId="19" fillId="9" borderId="1" applyAlignment="1" pivotButton="0" quotePrefix="0" xfId="0">
      <alignment horizontal="right" vertical="center" wrapText="1"/>
    </xf>
    <xf numFmtId="166" fontId="6" fillId="8" borderId="1" applyAlignment="1" pivotButton="0" quotePrefix="0" xfId="0">
      <alignment horizontal="right" vertical="center" wrapText="1"/>
    </xf>
    <xf numFmtId="0" fontId="6" fillId="4" borderId="1" pivotButton="0" quotePrefix="0" xfId="0"/>
    <xf numFmtId="164" fontId="20" fillId="4" borderId="1" applyAlignment="1" pivotButton="0" quotePrefix="0" xfId="0">
      <alignment horizontal="right" vertical="center" wrapText="1"/>
    </xf>
    <xf numFmtId="164" fontId="5" fillId="4" borderId="1" applyAlignment="1" pivotButton="0" quotePrefix="0" xfId="0">
      <alignment horizontal="right" vertical="center" wrapText="1"/>
    </xf>
    <xf numFmtId="0" fontId="6" fillId="3" borderId="1" pivotButton="0" quotePrefix="0" xfId="0"/>
    <xf numFmtId="164" fontId="6" fillId="3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left" vertical="center" wrapText="1"/>
    </xf>
    <xf numFmtId="164" fontId="18" fillId="4" borderId="1" applyAlignment="1" pivotButton="0" quotePrefix="0" xfId="0">
      <alignment horizontal="right" vertical="center" wrapText="1"/>
    </xf>
    <xf numFmtId="9" fontId="15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AIdeology × e&amp;  —  ENTERPRISE Internal Pricing Summary</t>
        </is>
      </c>
    </row>
    <row r="3">
      <c r="B3" s="2" t="inlineStr">
        <is>
          <t>Pillar 02 (Enterprise &amp; Government). One page. Detail in tabs 1-11.</t>
        </is>
      </c>
    </row>
    <row r="5">
      <c r="B5" s="3" t="inlineStr">
        <is>
          <t>A.  WHAT ARE WE BUILDING?</t>
        </is>
      </c>
      <c r="C5" s="4" t="n"/>
      <c r="D5" s="4" t="n"/>
      <c r="E5" s="4" t="n"/>
      <c r="F5" s="4" t="n"/>
      <c r="G5" s="4" t="n"/>
    </row>
    <row r="6">
      <c r="B6" s="2" t="inlineStr">
        <is>
          <t>We extend the SMB platform with an enterprise-readiness layer (RBAC, audit, trust tiers, ERP/CRM/HIS integration, fine-tuning) and</t>
        </is>
      </c>
    </row>
    <row r="7">
      <c r="B7" s="2" t="inlineStr">
        <is>
          <t>deliver three engagement tiers to e&amp;'s enterprise &amp; government customers:</t>
        </is>
      </c>
    </row>
    <row r="8">
      <c r="B8" s="2" t="inlineStr">
        <is>
          <t xml:space="preserve">  Tier 1  — adapted SMB agents with enterprise connectors (deeper, multi-branch, compliance, fine-tuned)</t>
        </is>
      </c>
    </row>
    <row r="9">
      <c r="B9" s="2" t="inlineStr">
        <is>
          <t xml:space="preserve">  Tier 2  — custom AI solutions including AI Contact Centre, Document Intelligence, Approvals, Predictive Maint., Security</t>
        </is>
      </c>
    </row>
    <row r="10">
      <c r="B10" s="2" t="inlineStr">
        <is>
          <t xml:space="preserve">  Tier 3  — sovereign / on-premise deployments (customer site) using pre-prepared HPC RA BoMs for vendor agility</t>
        </is>
      </c>
    </row>
    <row r="11">
      <c r="B11" s="2" t="inlineStr">
        <is>
          <t>Each project can deploy on G42 / Core42 sovereign cloud, e&amp; cloud, or customer on-prem. Custom bespoke engineering on demand.</t>
        </is>
      </c>
    </row>
    <row r="13">
      <c r="B13" s="3" t="inlineStr">
        <is>
          <t>B.  WHAT DOES IT COST US?  (per build / per project — internal)</t>
        </is>
      </c>
      <c r="C13" s="4" t="n"/>
      <c r="D13" s="4" t="n"/>
      <c r="E13" s="4" t="n"/>
      <c r="F13" s="4" t="n"/>
      <c r="G13" s="4" t="n"/>
    </row>
    <row r="14">
      <c r="B14" s="5" t="inlineStr">
        <is>
          <t>Wave E0 — Platform extensions (one-off)</t>
        </is>
      </c>
      <c r="C14" s="6" t="n"/>
      <c r="D14" s="5" t="inlineStr">
        <is>
          <t>Tier 1 cost — average per adapted agent</t>
        </is>
      </c>
      <c r="E14" s="6" t="n"/>
      <c r="F14" s="5" t="inlineStr">
        <is>
          <t>Tier 2 cost — average per custom solution</t>
        </is>
      </c>
      <c r="G14" s="6" t="n"/>
    </row>
    <row r="15">
      <c r="B15" s="7">
        <f>'8. Pricing Summary'!C9</f>
        <v/>
      </c>
      <c r="C15" s="6" t="n"/>
      <c r="D15" s="7">
        <f>'8. Pricing Summary'!C20</f>
        <v/>
      </c>
      <c r="E15" s="6" t="n"/>
      <c r="F15" s="7">
        <f>'8. Pricing Summary'!C30</f>
        <v/>
      </c>
      <c r="G15" s="6" t="n"/>
    </row>
    <row r="17">
      <c r="B17" s="5" t="inlineStr">
        <is>
          <t>Tier 3 cost — average sovereign / on-prem project</t>
        </is>
      </c>
      <c r="C17" s="6" t="n"/>
      <c r="D17" s="5" t="inlineStr">
        <is>
          <t>Custom bespoke — average ~22-week build</t>
        </is>
      </c>
      <c r="E17" s="6" t="n"/>
      <c r="F17" s="5" t="inlineStr">
        <is>
          <t>Managed service — monthly cost per client</t>
        </is>
      </c>
      <c r="G17" s="6" t="n"/>
    </row>
    <row r="18">
      <c r="B18" s="7">
        <f>'8. Pricing Summary'!C36</f>
        <v/>
      </c>
      <c r="C18" s="6" t="n"/>
      <c r="D18" s="7">
        <f>'7. Custom Bespoke'!C26</f>
        <v/>
      </c>
      <c r="E18" s="6" t="n"/>
      <c r="F18" s="7">
        <f>'8. Pricing Summary'!C41</f>
        <v/>
      </c>
      <c r="G18" s="6" t="n"/>
    </row>
    <row r="21">
      <c r="B21" s="3" t="inlineStr">
        <is>
          <t>C.  WHAT DO WE CHARGE e&amp;?  (price to e&amp;)</t>
        </is>
      </c>
      <c r="C21" s="4" t="n"/>
      <c r="D21" s="4" t="n"/>
      <c r="E21" s="4" t="n"/>
      <c r="F21" s="4" t="n"/>
      <c r="G21" s="4" t="n"/>
    </row>
    <row r="22">
      <c r="B22" s="5" t="inlineStr">
        <is>
          <t>Wave E0 — Platform extensions price</t>
        </is>
      </c>
      <c r="C22" s="6" t="n"/>
      <c r="D22" s="5" t="inlineStr">
        <is>
          <t>Tier 1 — average price per adapted agent</t>
        </is>
      </c>
      <c r="E22" s="6" t="n"/>
      <c r="F22" s="5" t="inlineStr">
        <is>
          <t>Tier 2 — average price per custom solution</t>
        </is>
      </c>
      <c r="G22" s="6" t="n"/>
    </row>
    <row r="23">
      <c r="B23" s="7">
        <f>'8. Pricing Summary'!E9</f>
        <v/>
      </c>
      <c r="C23" s="6" t="n"/>
      <c r="D23" s="7">
        <f>'8. Pricing Summary'!E20</f>
        <v/>
      </c>
      <c r="E23" s="6" t="n"/>
      <c r="F23" s="7">
        <f>'8. Pricing Summary'!E30</f>
        <v/>
      </c>
      <c r="G23" s="6" t="n"/>
    </row>
    <row r="25">
      <c r="B25" s="5" t="inlineStr">
        <is>
          <t>Tier 3 — average price per sovereign project</t>
        </is>
      </c>
      <c r="C25" s="6" t="n"/>
      <c r="D25" s="5" t="inlineStr">
        <is>
          <t>Custom bespoke — average price</t>
        </is>
      </c>
      <c r="E25" s="6" t="n"/>
      <c r="F25" s="5" t="inlineStr">
        <is>
          <t>Managed service — monthly price per client</t>
        </is>
      </c>
      <c r="G25" s="6" t="n"/>
    </row>
    <row r="26">
      <c r="B26" s="7">
        <f>'8. Pricing Summary'!E36</f>
        <v/>
      </c>
      <c r="C26" s="6" t="n"/>
      <c r="D26" s="7">
        <f>'7. Custom Bespoke'!E26</f>
        <v/>
      </c>
      <c r="E26" s="6" t="n"/>
      <c r="F26" s="7">
        <f>'8. Pricing Summary'!E41</f>
        <v/>
      </c>
      <c r="G26" s="6" t="n"/>
    </row>
    <row r="29">
      <c r="B29" s="3" t="inlineStr">
        <is>
          <t>D.  3-YEAR REVENUE FORECAST  (mid scenario)</t>
        </is>
      </c>
      <c r="C29" s="4" t="n"/>
      <c r="D29" s="4" t="n"/>
      <c r="E29" s="4" t="n"/>
      <c r="F29" s="4" t="n"/>
      <c r="G29" s="4" t="n"/>
    </row>
    <row r="30">
      <c r="B30" s="8" t="inlineStr"/>
      <c r="C30" s="8" t="inlineStr">
        <is>
          <t>Year 1</t>
        </is>
      </c>
      <c r="D30" s="8" t="inlineStr">
        <is>
          <t>Year 2</t>
        </is>
      </c>
      <c r="E30" s="8" t="inlineStr">
        <is>
          <t>Year 3</t>
        </is>
      </c>
      <c r="F30" s="8" t="inlineStr">
        <is>
          <t>3-Year Total</t>
        </is>
      </c>
    </row>
    <row r="31">
      <c r="B31" s="9" t="inlineStr">
        <is>
          <t># Projects (Y1: 4, Y2: 11, Y3: 18 mid-scenario)</t>
        </is>
      </c>
      <c r="C31" s="10">
        <f>'9. Revenue Forecast'!C9</f>
        <v/>
      </c>
      <c r="D31" s="10">
        <f>'9. Revenue Forecast'!D9</f>
        <v/>
      </c>
      <c r="E31" s="10">
        <f>'9. Revenue Forecast'!E9</f>
        <v/>
      </c>
      <c r="F31" s="10">
        <f>SUM(C31:E31)</f>
        <v/>
      </c>
    </row>
    <row r="32">
      <c r="B32" s="9" t="inlineStr">
        <is>
          <t>Gross project &amp; build revenue (e&amp; sale price)</t>
        </is>
      </c>
      <c r="C32" s="11">
        <f>'9. Revenue Forecast'!C19</f>
        <v/>
      </c>
      <c r="D32" s="11">
        <f>'9. Revenue Forecast'!D19</f>
        <v/>
      </c>
      <c r="E32" s="11">
        <f>'9. Revenue Forecast'!E19</f>
        <v/>
      </c>
      <c r="F32" s="11">
        <f>SUM(C32:E32)</f>
        <v/>
      </c>
    </row>
    <row r="33">
      <c r="B33" s="9" t="inlineStr">
        <is>
          <t>Managed service recurring revenue</t>
        </is>
      </c>
      <c r="C33" s="11">
        <f>'9. Revenue Forecast'!C24</f>
        <v/>
      </c>
      <c r="D33" s="11">
        <f>'9. Revenue Forecast'!D24</f>
        <v/>
      </c>
      <c r="E33" s="11">
        <f>'9. Revenue Forecast'!E24</f>
        <v/>
      </c>
      <c r="F33" s="11">
        <f>SUM(C33:E33)</f>
        <v/>
      </c>
    </row>
    <row r="34">
      <c r="B34" s="9" t="inlineStr">
        <is>
          <t>AIdeology share (60% of project + 60% managed)</t>
        </is>
      </c>
      <c r="C34" s="12">
        <f>'9. Revenue Forecast'!C30</f>
        <v/>
      </c>
      <c r="D34" s="12">
        <f>'9. Revenue Forecast'!D30</f>
        <v/>
      </c>
      <c r="E34" s="12">
        <f>'9. Revenue Forecast'!E30</f>
        <v/>
      </c>
      <c r="F34" s="12">
        <f>SUM(C34:E34)</f>
        <v/>
      </c>
    </row>
    <row r="35">
      <c r="B35" s="9" t="inlineStr">
        <is>
          <t>e&amp; share (40% project + 40% managed + hosting)</t>
        </is>
      </c>
      <c r="C35" s="11">
        <f>'9. Revenue Forecast'!C31</f>
        <v/>
      </c>
      <c r="D35" s="11">
        <f>'9. Revenue Forecast'!D31</f>
        <v/>
      </c>
      <c r="E35" s="11">
        <f>'9. Revenue Forecast'!E31</f>
        <v/>
      </c>
      <c r="F35" s="11">
        <f>SUM(C35:E35)</f>
        <v/>
      </c>
    </row>
    <row r="37">
      <c r="B37" s="3" t="inlineStr">
        <is>
          <t>E.  THREE PRICING POSTURES</t>
        </is>
      </c>
      <c r="C37" s="4" t="n"/>
      <c r="D37" s="4" t="n"/>
      <c r="E37" s="4" t="n"/>
      <c r="F37" s="4" t="n"/>
      <c r="G37" s="4" t="n"/>
    </row>
    <row r="38">
      <c r="B38" s="8" t="inlineStr"/>
      <c r="C38" s="8" t="inlineStr">
        <is>
          <t>Conservative</t>
        </is>
      </c>
      <c r="D38" s="8" t="inlineStr">
        <is>
          <t>Mid (baseline)</t>
        </is>
      </c>
      <c r="E38" s="8" t="inlineStr">
        <is>
          <t>Aggressive</t>
        </is>
      </c>
    </row>
    <row r="39">
      <c r="B39" s="9" t="inlineStr">
        <is>
          <t>Tier 1 price per agent</t>
        </is>
      </c>
      <c r="C39" s="11" t="n">
        <v>30000</v>
      </c>
      <c r="D39" s="11" t="n">
        <v>55000</v>
      </c>
      <c r="E39" s="11" t="n">
        <v>80000</v>
      </c>
    </row>
    <row r="40">
      <c r="B40" s="9" t="inlineStr">
        <is>
          <t>Tier 2 price per project</t>
        </is>
      </c>
      <c r="C40" s="11" t="n">
        <v>300000</v>
      </c>
      <c r="D40" s="11" t="n">
        <v>450000</v>
      </c>
      <c r="E40" s="11" t="n">
        <v>600000</v>
      </c>
    </row>
    <row r="41">
      <c r="B41" s="9" t="inlineStr">
        <is>
          <t>Tier 3 price per project</t>
        </is>
      </c>
      <c r="C41" s="11" t="n">
        <v>600000</v>
      </c>
      <c r="D41" s="11" t="n">
        <v>800000</v>
      </c>
      <c r="E41" s="11" t="n">
        <v>1000000</v>
      </c>
    </row>
    <row r="42">
      <c r="B42" s="9" t="inlineStr">
        <is>
          <t>Best for</t>
        </is>
      </c>
      <c r="C42" s="13" t="inlineStr">
        <is>
          <t>AIdeology cash certainty</t>
        </is>
      </c>
      <c r="D42" s="13" t="inlineStr">
        <is>
          <t>JSX framework baseline</t>
        </is>
      </c>
      <c r="E42" s="13" t="inlineStr">
        <is>
          <t>Maximise margin on flagships</t>
        </is>
      </c>
    </row>
    <row r="43">
      <c r="B43" s="9" t="inlineStr">
        <is>
          <t>Risk</t>
        </is>
      </c>
      <c r="C43" s="13" t="inlineStr">
        <is>
          <t>Leaves money on the table</t>
        </is>
      </c>
      <c r="D43" s="13" t="inlineStr">
        <is>
          <t>Balanced</t>
        </is>
      </c>
      <c r="E43" s="13" t="inlineStr">
        <is>
          <t>Slower pipeline</t>
        </is>
      </c>
    </row>
    <row r="44">
      <c r="B44" s="3" t="inlineStr">
        <is>
          <t>F.  KEY INSIGHTS</t>
        </is>
      </c>
      <c r="C44" s="4" t="n"/>
      <c r="D44" s="4" t="n"/>
      <c r="E44" s="4" t="n"/>
      <c r="F44" s="4" t="n"/>
      <c r="G44" s="4" t="n"/>
    </row>
    <row r="45">
      <c r="B45" s="14" t="inlineStr">
        <is>
          <t>SMB platform is the baseline. Tier 1 enterprise agents are NOT rebuilt — we add multi-branch, deep ERP/CRM/HIS connectors, compliance logging, and fine-tuning ON TOP. Average Tier 1 internal cost ~$100K (vs ~$240K to build an SMB wave from zero). For repeat agents on the same customer, the ERP integration work is amortised → second &amp; third agents cost ~50% less.</t>
        </is>
      </c>
      <c r="C45" s="15" t="n"/>
      <c r="D45" s="15" t="n"/>
      <c r="E45" s="15" t="n"/>
      <c r="F45" s="15" t="n"/>
      <c r="G45" s="15" t="n"/>
    </row>
    <row r="46">
      <c r="B46" s="16" t="inlineStr">
        <is>
          <t>On-premise deployments are the most expensive (Tier 3) — but with pre-prepared HPC reference architectures (Cisco / Dell / HPE / Lenovo / Supermicro NVIDIA-Certified BoMs), AIdeology can spin up a customer-specific BoM in days, not weeks. See Sheet 10 for the BoM library.</t>
        </is>
      </c>
      <c r="C46" s="6" t="n"/>
      <c r="D46" s="6" t="n"/>
      <c r="E46" s="6" t="n"/>
      <c r="F46" s="6" t="n"/>
      <c r="G46" s="6" t="n"/>
    </row>
    <row r="47">
      <c r="B47" s="17" t="inlineStr">
        <is>
          <t>AI Contact Centre Software for Enterprises is delivered as the headline Tier 2 custom solution (Sheet 5). It packages voice + WhatsApp + web + agent assist + supervisor analytics on the AIdeology platform with deep CRM/ERP/HIS integration. Internal cost ~$374K → price to e&amp; ~$680K @ 45% margin (above JSX $300-600K — verify per deal).</t>
        </is>
      </c>
      <c r="C47" s="18" t="n"/>
      <c r="D47" s="18" t="n"/>
      <c r="E47" s="18" t="n"/>
      <c r="F47" s="18" t="n"/>
      <c r="G47" s="18" t="n"/>
    </row>
  </sheetData>
  <mergeCells count="17">
    <mergeCell ref="B3:G3"/>
    <mergeCell ref="B2:G2"/>
    <mergeCell ref="B47:G47"/>
    <mergeCell ref="B10:G10"/>
    <mergeCell ref="B46:G46"/>
    <mergeCell ref="B5:G5"/>
    <mergeCell ref="B37:G37"/>
    <mergeCell ref="B44:G44"/>
    <mergeCell ref="B45:G45"/>
    <mergeCell ref="B9:G9"/>
    <mergeCell ref="B8:G8"/>
    <mergeCell ref="B13:G13"/>
    <mergeCell ref="B21:G21"/>
    <mergeCell ref="B29:G29"/>
    <mergeCell ref="B7:G7"/>
    <mergeCell ref="B11:G11"/>
    <mergeCell ref="B6:G6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62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10" customWidth="1" min="4" max="4"/>
    <col width="64" customWidth="1" min="5" max="5"/>
  </cols>
  <sheetData>
    <row r="2">
      <c r="B2" s="19" t="inlineStr">
        <is>
          <t>AIdeology — Enterprise Internal Pricing &amp; Staffing Analysis</t>
        </is>
      </c>
    </row>
    <row r="3">
      <c r="B3" s="20" t="inlineStr">
        <is>
          <t>e&amp; B2B Acceleration · Pillar 02 — Enterprise &amp; Government · v0.1 DRAFT</t>
        </is>
      </c>
    </row>
    <row r="4">
      <c r="B4" s="21" t="inlineStr">
        <is>
          <t>INTERNAL — NOT FOR e&amp;. Pricing model for AIdeology team only.</t>
        </is>
      </c>
    </row>
    <row r="5">
      <c r="B5" s="22" t="inlineStr">
        <is>
          <t>Date: 2026-05-10</t>
        </is>
      </c>
    </row>
    <row r="7">
      <c r="B7" s="23" t="inlineStr">
        <is>
          <t>How to use this workbook</t>
        </is>
      </c>
    </row>
    <row r="8">
      <c r="B8" s="22" t="inlineStr">
        <is>
          <t>• Blue-text / yellow-shaded cells are editable inputs (rates, p-weeks, margins, deal counts).</t>
        </is>
      </c>
    </row>
    <row r="9">
      <c r="B9" s="22" t="inlineStr">
        <is>
          <t>• Green-text cells are formulas — do not overwrite.</t>
        </is>
      </c>
    </row>
    <row r="10">
      <c r="B10" s="22" t="inlineStr">
        <is>
          <t>• Sheet 2: Roles &amp; Rates — same SMB roles + 4 enterprise-specific roles (ERP architect, Compliance SME, Industry SME, Fine-Tuning Eng).</t>
        </is>
      </c>
    </row>
    <row r="11">
      <c r="B11" s="22" t="inlineStr">
        <is>
          <t>• Sheet 3: Wave E0 — Platform extensions on top of SMB platform (P1 + P2 layers, ~12 weeks).</t>
        </is>
      </c>
    </row>
    <row r="12">
      <c r="B12" s="22" t="inlineStr">
        <is>
          <t>• Sheet 4: Tier 1 — Adapted SMB Agents (delta cost only — agents reuse SMB build).</t>
        </is>
      </c>
    </row>
    <row r="13">
      <c r="B13" s="22" t="inlineStr">
        <is>
          <t>• Sheet 5: Tier 2 — Custom AI Solutions (Contact Centre, Doc Intel, Approvals, Pred Maint, Security).</t>
        </is>
      </c>
    </row>
    <row r="14">
      <c r="B14" s="22" t="inlineStr">
        <is>
          <t>• Sheet 6: Tier 3 — Sovereign / On-Prem (uses pre-prepared HPC RA BoMs).</t>
        </is>
      </c>
    </row>
    <row r="15">
      <c r="B15" s="22" t="inlineStr">
        <is>
          <t>• Sheet 7: Custom Bespoke — Unique builds priced T&amp;M or fixed bid.</t>
        </is>
      </c>
    </row>
    <row r="16">
      <c r="B16" s="22" t="inlineStr">
        <is>
          <t>• Sheet 8: Pricing Summary — Cost + margin = price per tier.</t>
        </is>
      </c>
    </row>
    <row r="17">
      <c r="B17" s="22" t="inlineStr">
        <is>
          <t>• Sheet 9: 3-Year Revenue Forecast — Pipeline × tier mix → AIdeology vs e&amp; share.</t>
        </is>
      </c>
    </row>
    <row r="18">
      <c r="B18" s="22" t="inlineStr">
        <is>
          <t>• Sheet 10: HPC RA Library — Pre-prepared BoMs from Cisco / Dell / HPE / Lenovo / Supermicro.</t>
        </is>
      </c>
    </row>
    <row r="19">
      <c r="B19" s="22" t="inlineStr">
        <is>
          <t>• Sheet 11: Sensitivity — Pipeline volume × tier mix × revenue split scenarios.</t>
        </is>
      </c>
    </row>
    <row r="22">
      <c r="B22" s="23" t="inlineStr">
        <is>
          <t>Global assumptions</t>
        </is>
      </c>
    </row>
    <row r="23">
      <c r="B23" s="24" t="inlineStr">
        <is>
          <t>Assumption</t>
        </is>
      </c>
      <c r="C23" s="24" t="inlineStr">
        <is>
          <t>Value</t>
        </is>
      </c>
      <c r="D23" s="24" t="inlineStr">
        <is>
          <t>Unit</t>
        </is>
      </c>
      <c r="E23" s="24" t="inlineStr">
        <is>
          <t>Notes / source</t>
        </is>
      </c>
    </row>
    <row r="24">
      <c r="B24" s="25" t="inlineStr">
        <is>
          <t>Working days per week</t>
        </is>
      </c>
      <c r="C24" s="26" t="n">
        <v>5</v>
      </c>
      <c r="D24" s="27" t="inlineStr">
        <is>
          <t>days</t>
        </is>
      </c>
      <c r="E24" s="28" t="inlineStr">
        <is>
          <t>Standard.</t>
        </is>
      </c>
    </row>
    <row r="25">
      <c r="B25" s="25" t="inlineStr">
        <is>
          <t>Hours per working day</t>
        </is>
      </c>
      <c r="C25" s="26" t="n">
        <v>8</v>
      </c>
      <c r="D25" s="27" t="inlineStr">
        <is>
          <t>hours</t>
        </is>
      </c>
      <c r="E25" s="28" t="inlineStr">
        <is>
          <t>Standard.</t>
        </is>
      </c>
    </row>
    <row r="26">
      <c r="B26" s="25" t="inlineStr">
        <is>
          <t>Currency</t>
        </is>
      </c>
      <c r="C26" s="29" t="inlineStr">
        <is>
          <t>USD</t>
        </is>
      </c>
      <c r="D26" s="27" t="inlineStr">
        <is>
          <t>—</t>
        </is>
      </c>
      <c r="E26" s="28" t="inlineStr">
        <is>
          <t>Internal model; price to e&amp; issuable in USD or AED.</t>
        </is>
      </c>
    </row>
    <row r="27">
      <c r="B27" s="25" t="inlineStr">
        <is>
          <t>FX assumption (USD→AED)</t>
        </is>
      </c>
      <c r="C27" s="30" t="n">
        <v>3.67</v>
      </c>
      <c r="D27" s="27" t="inlineStr">
        <is>
          <t>rate</t>
        </is>
      </c>
      <c r="E27" s="28" t="inlineStr">
        <is>
          <t>Pegged.</t>
        </is>
      </c>
    </row>
    <row r="28">
      <c r="B28" s="25" t="inlineStr">
        <is>
          <t>Wave E0 — Platform extensions duration</t>
        </is>
      </c>
      <c r="C28" s="26" t="n">
        <v>12</v>
      </c>
      <c r="D28" s="27" t="inlineStr">
        <is>
          <t>weeks</t>
        </is>
      </c>
      <c r="E28" s="28" t="inlineStr">
        <is>
          <t>P1 enterprise-readiness + P2 government layer (RBAC, audit, trust tiers, ERP framework, fine-tuning sub-platform).</t>
        </is>
      </c>
    </row>
    <row r="29">
      <c r="B29" s="25" t="inlineStr">
        <is>
          <t>Wave E0 target gross margin</t>
        </is>
      </c>
      <c r="C29" s="31" t="n">
        <v>0.45</v>
      </c>
      <c r="D29" s="27" t="inlineStr">
        <is>
          <t>%</t>
        </is>
      </c>
      <c r="E29" s="28" t="inlineStr">
        <is>
          <t>Reusable platform IP; reused across every Tier 1/2/3 deal.</t>
        </is>
      </c>
    </row>
    <row r="30">
      <c r="B30" s="25" t="inlineStr">
        <is>
          <t>Tier 1 target gross margin</t>
        </is>
      </c>
      <c r="C30" s="31" t="n">
        <v>0.5</v>
      </c>
      <c r="D30" s="27" t="inlineStr">
        <is>
          <t>%</t>
        </is>
      </c>
      <c r="E30" s="28" t="inlineStr">
        <is>
          <t>Adapted SMB agent — minimal new build, mostly configuration &amp; connectors. High margin justified.</t>
        </is>
      </c>
    </row>
    <row r="31">
      <c r="B31" s="25" t="inlineStr">
        <is>
          <t>Tier 2 target gross margin</t>
        </is>
      </c>
      <c r="C31" s="31" t="n">
        <v>0.45</v>
      </c>
      <c r="D31" s="27" t="inlineStr">
        <is>
          <t>%</t>
        </is>
      </c>
      <c r="E31" s="28" t="inlineStr">
        <is>
          <t>Custom AI solution build — moderate complexity, controlled cloud.</t>
        </is>
      </c>
    </row>
    <row r="32">
      <c r="B32" s="25" t="inlineStr">
        <is>
          <t>Tier 3 target gross margin</t>
        </is>
      </c>
      <c r="C32" s="31" t="n">
        <v>0.4</v>
      </c>
      <c r="D32" s="27" t="inlineStr">
        <is>
          <t>%</t>
        </is>
      </c>
      <c r="E32" s="28" t="inlineStr">
        <is>
          <t>Sovereign / on-prem — highest delivery risk + customer-specific work.</t>
        </is>
      </c>
    </row>
    <row r="33">
      <c r="B33" s="25" t="inlineStr">
        <is>
          <t>Custom bespoke target gross margin</t>
        </is>
      </c>
      <c r="C33" s="31" t="n">
        <v>0.5</v>
      </c>
      <c r="D33" s="27" t="inlineStr">
        <is>
          <t>%</t>
        </is>
      </c>
      <c r="E33" s="28" t="inlineStr">
        <is>
          <t>Unique IP creation — premium pricing, risk-adjusted.</t>
        </is>
      </c>
    </row>
    <row r="34">
      <c r="B34" s="25" t="inlineStr">
        <is>
          <t>Managed service target gross margin</t>
        </is>
      </c>
      <c r="C34" s="31" t="n">
        <v>0.55</v>
      </c>
      <c r="D34" s="27" t="inlineStr">
        <is>
          <t>%</t>
        </is>
      </c>
      <c r="E34" s="28" t="inlineStr">
        <is>
          <t>Recurring monthly support; high margin once stable.</t>
        </is>
      </c>
    </row>
    <row r="35">
      <c r="B35" s="25" t="inlineStr">
        <is>
          <t>Contingency on direct cost (Tier 1)</t>
        </is>
      </c>
      <c r="C35" s="31" t="n">
        <v>0.1</v>
      </c>
      <c r="D35" s="27" t="inlineStr">
        <is>
          <t>%</t>
        </is>
      </c>
      <c r="E35" s="28" t="inlineStr">
        <is>
          <t>Buffer for unknowns.</t>
        </is>
      </c>
    </row>
    <row r="36">
      <c r="B36" s="25" t="inlineStr">
        <is>
          <t>Contingency on direct cost (Tier 2)</t>
        </is>
      </c>
      <c r="C36" s="31" t="n">
        <v>0.12</v>
      </c>
      <c r="D36" s="27" t="inlineStr">
        <is>
          <t>%</t>
        </is>
      </c>
      <c r="E36" s="28" t="inlineStr">
        <is>
          <t>Higher — custom build risk.</t>
        </is>
      </c>
    </row>
    <row r="37">
      <c r="B37" s="25" t="inlineStr">
        <is>
          <t>Contingency on direct cost (Tier 3)</t>
        </is>
      </c>
      <c r="C37" s="31" t="n">
        <v>0.15</v>
      </c>
      <c r="D37" s="27" t="inlineStr">
        <is>
          <t>%</t>
        </is>
      </c>
      <c r="E37" s="28" t="inlineStr">
        <is>
          <t>Highest — customer-site, networking, security review uncertainty.</t>
        </is>
      </c>
    </row>
    <row r="38">
      <c r="B38" s="25" t="inlineStr">
        <is>
          <t>Risk reserve (held internally)</t>
        </is>
      </c>
      <c r="C38" s="31" t="n">
        <v>0.05</v>
      </c>
      <c r="D38" s="27" t="inlineStr">
        <is>
          <t>%</t>
        </is>
      </c>
      <c r="E38" s="28" t="inlineStr">
        <is>
          <t>Held at AIdeology level — not passed to e&amp; in price.</t>
        </is>
      </c>
    </row>
    <row r="39">
      <c r="B39" s="25" t="inlineStr">
        <is>
          <t>Revenue split — AIdeology share of project fee</t>
        </is>
      </c>
      <c r="C39" s="31" t="n">
        <v>0.6</v>
      </c>
      <c r="D39" s="27" t="inlineStr">
        <is>
          <t>%</t>
        </is>
      </c>
      <c r="E39" s="28" t="inlineStr">
        <is>
          <t>JSX framework: 60/40 AIdeology/e&amp;. e&amp; sells, owns customer &amp; hosting.</t>
        </is>
      </c>
    </row>
    <row r="40">
      <c r="B40" s="25" t="inlineStr">
        <is>
          <t>Revenue split — e&amp; share of project fee</t>
        </is>
      </c>
      <c r="C40" s="31" t="n">
        <v>0.4</v>
      </c>
      <c r="D40" s="27" t="inlineStr">
        <is>
          <t>%</t>
        </is>
      </c>
      <c r="E40" s="28" t="inlineStr">
        <is>
          <t>Mirror — must equal 1 - AIdeology share.</t>
        </is>
      </c>
    </row>
    <row r="41">
      <c r="B41" s="25" t="inlineStr">
        <is>
          <t>Managed service split — AIdeology share</t>
        </is>
      </c>
      <c r="C41" s="31" t="n">
        <v>0.6</v>
      </c>
      <c r="D41" s="27" t="inlineStr">
        <is>
          <t>%</t>
        </is>
      </c>
      <c r="E41" s="28" t="inlineStr">
        <is>
          <t>Same as project split for simplicity.</t>
        </is>
      </c>
    </row>
    <row r="42">
      <c r="B42" s="25" t="inlineStr">
        <is>
          <t># Projects Y1 (mid scenario)</t>
        </is>
      </c>
      <c r="C42" s="26" t="n">
        <v>4</v>
      </c>
      <c r="D42" s="27" t="inlineStr">
        <is>
          <t>deals</t>
        </is>
      </c>
      <c r="E42" s="28" t="inlineStr">
        <is>
          <t>Per JSX: 3-8 deals Y1 → mid 4.</t>
        </is>
      </c>
    </row>
    <row r="43">
      <c r="B43" s="25" t="inlineStr">
        <is>
          <t># Projects Y2 (mid scenario)</t>
        </is>
      </c>
      <c r="C43" s="26" t="n">
        <v>11</v>
      </c>
      <c r="D43" s="27" t="inlineStr">
        <is>
          <t>deals</t>
        </is>
      </c>
      <c r="E43" s="28" t="inlineStr">
        <is>
          <t>Per JSX: 8-15 deals Y2 → mid 11.</t>
        </is>
      </c>
    </row>
    <row r="44">
      <c r="B44" s="25" t="inlineStr">
        <is>
          <t># Projects Y3 (mid scenario)</t>
        </is>
      </c>
      <c r="C44" s="26" t="n">
        <v>18</v>
      </c>
      <c r="D44" s="27" t="inlineStr">
        <is>
          <t>deals</t>
        </is>
      </c>
      <c r="E44" s="28" t="inlineStr">
        <is>
          <t>Per JSX: 15-25 deals Y3 → mid 18.</t>
        </is>
      </c>
    </row>
    <row r="45">
      <c r="B45" s="25" t="inlineStr">
        <is>
          <t>Tier mix — % Tier 1 (adapted agents)</t>
        </is>
      </c>
      <c r="C45" s="31" t="n">
        <v>0.35</v>
      </c>
      <c r="D45" s="27" t="inlineStr">
        <is>
          <t>%</t>
        </is>
      </c>
      <c r="E45" s="28" t="inlineStr">
        <is>
          <t>Smaller deals dominate count (multiple agents per logo).</t>
        </is>
      </c>
    </row>
    <row r="46">
      <c r="B46" s="25" t="inlineStr">
        <is>
          <t>Tier mix — % Tier 2 (custom AI)</t>
        </is>
      </c>
      <c r="C46" s="31" t="n">
        <v>0.45</v>
      </c>
      <c r="D46" s="27" t="inlineStr">
        <is>
          <t>%</t>
        </is>
      </c>
      <c r="E46" s="28" t="inlineStr">
        <is>
          <t>Sweet spot — Contact Centre, Doc Intel etc.</t>
        </is>
      </c>
    </row>
    <row r="47">
      <c r="B47" s="25" t="inlineStr">
        <is>
          <t>Tier mix — % Tier 3 (sovereign / on-prem)</t>
        </is>
      </c>
      <c r="C47" s="31" t="n">
        <v>0.15</v>
      </c>
      <c r="D47" s="27" t="inlineStr">
        <is>
          <t>%</t>
        </is>
      </c>
      <c r="E47" s="28" t="inlineStr">
        <is>
          <t>Flagships — gov, banks, healthcare regulator.</t>
        </is>
      </c>
    </row>
    <row r="48">
      <c r="B48" s="25" t="inlineStr">
        <is>
          <t>Tier mix — % Custom bespoke</t>
        </is>
      </c>
      <c r="C48" s="31" t="n">
        <v>0.05</v>
      </c>
      <c r="D48" s="27" t="inlineStr">
        <is>
          <t>%</t>
        </is>
      </c>
      <c r="E48" s="28" t="inlineStr">
        <is>
          <t>Rare — unique IP requests.</t>
        </is>
      </c>
    </row>
    <row r="49">
      <c r="B49" s="25" t="inlineStr">
        <is>
          <t>Avg # Tier 1 agents per deal</t>
        </is>
      </c>
      <c r="C49" s="30" t="n">
        <v>2.5</v>
      </c>
      <c r="D49" s="27" t="inlineStr">
        <is>
          <t>agents</t>
        </is>
      </c>
      <c r="E49" s="28" t="inlineStr">
        <is>
          <t>Most enterprise customers buy a bundle of 2-4 adapted agents.</t>
        </is>
      </c>
    </row>
    <row r="50">
      <c r="B50" s="25" t="inlineStr">
        <is>
          <t>Managed service ARPU (mid)</t>
        </is>
      </c>
      <c r="C50" s="26" t="n">
        <v>12000</v>
      </c>
      <c r="D50" s="27" t="inlineStr">
        <is>
          <t>$/mo/client</t>
        </is>
      </c>
      <c r="E50" s="28" t="inlineStr">
        <is>
          <t>JSX range $5K-$25K/mo. Mid $12K.</t>
        </is>
      </c>
    </row>
    <row r="51">
      <c r="B51" s="25" t="inlineStr">
        <is>
          <t>Managed service uptake — % of project clients</t>
        </is>
      </c>
      <c r="C51" s="31" t="n">
        <v>0.7</v>
      </c>
      <c r="D51" s="27" t="inlineStr">
        <is>
          <t>%</t>
        </is>
      </c>
      <c r="E51" s="28" t="inlineStr">
        <is>
          <t>70% of project clients sign managed service after go-live.</t>
        </is>
      </c>
    </row>
    <row r="52">
      <c r="B52" s="25" t="inlineStr">
        <is>
          <t>Managed service ramp delay (months from project close)</t>
        </is>
      </c>
      <c r="C52" s="26" t="n">
        <v>1</v>
      </c>
      <c r="D52" s="27" t="inlineStr">
        <is>
          <t>months</t>
        </is>
      </c>
      <c r="E52" s="28" t="inlineStr">
        <is>
          <t>Begins immediately after go-live.</t>
        </is>
      </c>
    </row>
    <row r="55">
      <c r="B55" s="23" t="inlineStr">
        <is>
          <t>Important disclaimers</t>
        </is>
      </c>
    </row>
    <row r="56">
      <c r="B56" s="22" t="inlineStr">
        <is>
          <t>• Daily rates in Sheet 2 are PLACEHOLDER values to be validated against AIdeology's actual cost structure.</t>
        </is>
      </c>
    </row>
    <row r="57">
      <c r="B57" s="22" t="inlineStr">
        <is>
          <t>• Per-tier p-weeks in Sheets 3-7 are first-pass sizing. Adjust based on deal scope per opportunity.</t>
        </is>
      </c>
    </row>
    <row r="58">
      <c r="B58" s="22" t="inlineStr">
        <is>
          <t>• Tier 1 enterprise agents reuse the SMB platform build — only the delta work is costed here.</t>
        </is>
      </c>
    </row>
    <row r="59">
      <c r="B59" s="22" t="inlineStr">
        <is>
          <t>• Tier 3 BoM costs in Sheet 10 are vendor MSRP indicative; e&amp; negotiating power expected to discount 20-35%.</t>
        </is>
      </c>
    </row>
    <row r="60">
      <c r="B60" s="22" t="inlineStr">
        <is>
          <t>• Help AG security wrap costs (~$50K-$100K) included on Tier 3; verify with Help AG quote per project.</t>
        </is>
      </c>
    </row>
    <row r="61">
      <c r="B61" s="22" t="inlineStr">
        <is>
          <t>• Cloud costs depend on environment (e&amp; OCI / G42 Core42 / Azure CSP via e&amp;); revise once landing zone confirmed per deal.</t>
        </is>
      </c>
    </row>
    <row r="62">
      <c r="B62" s="22" t="inlineStr">
        <is>
          <t>• Voice/STT/TTS costs (Deepgram, ElevenLabs, Azure Speech) estimated; replace with vendor quotes for large CCaaS deals.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8" customWidth="1" min="4" max="4"/>
    <col width="18" customWidth="1" min="5" max="5"/>
    <col width="70" customWidth="1" min="6" max="6"/>
  </cols>
  <sheetData>
    <row r="2">
      <c r="B2" s="19" t="inlineStr">
        <is>
          <t>Enterprise Roles &amp; Daily Rates</t>
        </is>
      </c>
    </row>
    <row r="3">
      <c r="B3" s="32" t="inlineStr">
        <is>
          <t>IN PLAIN ENGLISH: This is the Enterprise team. SMB roles + 4 enterprise specialists. The 'Internal cost' is what each person costs us per day.</t>
        </is>
      </c>
    </row>
    <row r="5">
      <c r="B5" s="24" t="inlineStr">
        <is>
          <t>Role</t>
        </is>
      </c>
      <c r="C5" s="24" t="inlineStr">
        <is>
          <t>Seniority</t>
        </is>
      </c>
      <c r="D5" s="24" t="inlineStr">
        <is>
          <t>Internal cost / day (USD)</t>
        </is>
      </c>
      <c r="E5" s="24" t="inlineStr">
        <is>
          <t>Bill rate / day (USD)</t>
        </is>
      </c>
      <c r="F5" s="24" t="inlineStr">
        <is>
          <t>Notes</t>
        </is>
      </c>
    </row>
    <row r="6">
      <c r="B6" s="25" t="inlineStr">
        <is>
          <t>Engagement / Programme Manager</t>
        </is>
      </c>
      <c r="C6" s="27" t="inlineStr">
        <is>
          <t>Senior</t>
        </is>
      </c>
      <c r="D6" s="33" t="n">
        <v>1000</v>
      </c>
      <c r="E6" s="33" t="n">
        <v>1750</v>
      </c>
      <c r="F6" s="28" t="inlineStr">
        <is>
          <t>Single point of contact to e&amp;; weekly governance; commercial owner.</t>
        </is>
      </c>
    </row>
    <row r="7">
      <c r="B7" s="25" t="inlineStr">
        <is>
          <t>Solution Architect (Lead)</t>
        </is>
      </c>
      <c r="C7" s="27" t="inlineStr">
        <is>
          <t>Principal</t>
        </is>
      </c>
      <c r="D7" s="33" t="n">
        <v>1100</v>
      </c>
      <c r="E7" s="33" t="n">
        <v>2100</v>
      </c>
      <c r="F7" s="28" t="inlineStr">
        <is>
          <t>Owns reference architecture, multi-tenant design, latency budget, capability matrix.</t>
        </is>
      </c>
    </row>
    <row r="8">
      <c r="B8" s="25" t="inlineStr">
        <is>
          <t>AI / LLM Engineer — Orchestration &amp; Reasoning</t>
        </is>
      </c>
      <c r="C8" s="27" t="inlineStr">
        <is>
          <t>Senior</t>
        </is>
      </c>
      <c r="D8" s="33" t="n">
        <v>900</v>
      </c>
      <c r="E8" s="33" t="n">
        <v>1700</v>
      </c>
      <c r="F8" s="28" t="inlineStr">
        <is>
          <t>Agent graph, FSM, tool-calling, memory, guardrails, Portkey integration.</t>
        </is>
      </c>
    </row>
    <row r="9">
      <c r="B9" s="25" t="inlineStr">
        <is>
          <t>Voice / Conversational Engineer</t>
        </is>
      </c>
      <c r="C9" s="27" t="inlineStr">
        <is>
          <t>Senior</t>
        </is>
      </c>
      <c r="D9" s="33" t="n">
        <v>850</v>
      </c>
      <c r="E9" s="33" t="n">
        <v>1650</v>
      </c>
      <c r="F9" s="28" t="inlineStr">
        <is>
          <t>Telephony, STT/TTS, WhatsApp/Web channels, Arabic/English NLP.</t>
        </is>
      </c>
    </row>
    <row r="10">
      <c r="B10" s="25" t="inlineStr">
        <is>
          <t>Data &amp; Integration Engineer</t>
        </is>
      </c>
      <c r="C10" s="27" t="inlineStr">
        <is>
          <t>Senior</t>
        </is>
      </c>
      <c r="D10" s="33" t="n">
        <v>900</v>
      </c>
      <c r="E10" s="33" t="n">
        <v>1550</v>
      </c>
      <c r="F10" s="28" t="inlineStr">
        <is>
          <t>Connectors (CRM, calendar, payments), e&amp; billing API, vector store, knowledge ingestion.</t>
        </is>
      </c>
    </row>
    <row r="11">
      <c r="B11" s="25" t="inlineStr">
        <is>
          <t>Frontend / UX Engineer</t>
        </is>
      </c>
      <c r="C11" s="27" t="inlineStr">
        <is>
          <t>Mid</t>
        </is>
      </c>
      <c r="D11" s="33" t="n">
        <v>750</v>
      </c>
      <c r="E11" s="33" t="n">
        <v>1300</v>
      </c>
      <c r="F11" s="28" t="inlineStr">
        <is>
          <t>Next.js tenant back office, onboarding, admin console, agent configuration UI.</t>
        </is>
      </c>
    </row>
    <row r="12">
      <c r="B12" s="25" t="inlineStr">
        <is>
          <t>DevOps / Platform Engineer</t>
        </is>
      </c>
      <c r="C12" s="27" t="inlineStr">
        <is>
          <t>Senior</t>
        </is>
      </c>
      <c r="D12" s="33" t="n">
        <v>950</v>
      </c>
      <c r="E12" s="33" t="n">
        <v>1550</v>
      </c>
      <c r="F12" s="28" t="inlineStr">
        <is>
          <t>Helm/Terraform, CI/CD, multi-tenant K8s, observability stack, secrets, cost guardrails.</t>
        </is>
      </c>
    </row>
    <row r="13">
      <c r="B13" s="25" t="inlineStr">
        <is>
          <t>QA Engineer</t>
        </is>
      </c>
      <c r="C13" s="27" t="inlineStr">
        <is>
          <t>Mid</t>
        </is>
      </c>
      <c r="D13" s="33" t="n">
        <v>700</v>
      </c>
      <c r="E13" s="33" t="n">
        <v>1200</v>
      </c>
      <c r="F13" s="28" t="inlineStr">
        <is>
          <t>Test packs, synthetic data, automated regression, voice/chat acceptance tests.</t>
        </is>
      </c>
    </row>
    <row r="14">
      <c r="B14" s="25" t="inlineStr">
        <is>
          <t>Security / Compliance Lead</t>
        </is>
      </c>
      <c r="C14" s="27" t="inlineStr">
        <is>
          <t>Senior</t>
        </is>
      </c>
      <c r="D14" s="33" t="n">
        <v>1050</v>
      </c>
      <c r="E14" s="33" t="n">
        <v>1750</v>
      </c>
      <c r="F14" s="28" t="inlineStr">
        <is>
          <t>Tenant isolation, NESA / TDRA / ADDA controls, pen-test coordination.</t>
        </is>
      </c>
    </row>
    <row r="15">
      <c r="B15" s="25" t="inlineStr">
        <is>
          <t>Customer Success / Beta Ops Lead</t>
        </is>
      </c>
      <c r="C15" s="27" t="inlineStr">
        <is>
          <t>Mid</t>
        </is>
      </c>
      <c r="D15" s="33" t="n">
        <v>600</v>
      </c>
      <c r="E15" s="33" t="n">
        <v>950</v>
      </c>
      <c r="F15" s="28" t="inlineStr">
        <is>
          <t>Pilot onboarding, feedback loops, runbooks, support escalation.</t>
        </is>
      </c>
    </row>
    <row r="16">
      <c r="B16" s="25" t="inlineStr">
        <is>
          <t>ERP / Systems Integration Architect</t>
        </is>
      </c>
      <c r="C16" s="27" t="inlineStr">
        <is>
          <t>Principal</t>
        </is>
      </c>
      <c r="D16" s="33" t="n">
        <v>1200</v>
      </c>
      <c r="E16" s="33" t="n">
        <v>2200</v>
      </c>
      <c r="F16" s="28" t="inlineStr">
        <is>
          <t>Oracle Fusion / SAP S/4HANA / Epic / Temenos / Dynamics deep integration. Critical for Tier 1/2/3 enterprise builds.</t>
        </is>
      </c>
    </row>
    <row r="17">
      <c r="B17" s="25" t="inlineStr">
        <is>
          <t>Regulatory &amp; Compliance SME</t>
        </is>
      </c>
      <c r="C17" s="27" t="inlineStr">
        <is>
          <t>Senior</t>
        </is>
      </c>
      <c r="D17" s="33" t="n">
        <v>1100</v>
      </c>
      <c r="E17" s="33" t="n">
        <v>1800</v>
      </c>
      <c r="F17" s="28" t="inlineStr">
        <is>
          <t>DHA / CBUAE / NESA / ADDA / FTA. Maps regulation to controls; named on every Tier 2/3 audit trail.</t>
        </is>
      </c>
    </row>
    <row r="18">
      <c r="B18" s="25" t="inlineStr">
        <is>
          <t>Industry SME (per vertical)</t>
        </is>
      </c>
      <c r="C18" s="27" t="inlineStr">
        <is>
          <t>Senior</t>
        </is>
      </c>
      <c r="D18" s="33" t="n">
        <v>1000</v>
      </c>
      <c r="E18" s="33" t="n">
        <v>1700</v>
      </c>
      <c r="F18" s="28" t="inlineStr">
        <is>
          <t>Healthcare / Banking / Energy / Government domain expert. Spec authoring + acceptance testing.</t>
        </is>
      </c>
    </row>
    <row r="19">
      <c r="B19" s="25" t="inlineStr">
        <is>
          <t>ML / Fine-Tuning Engineer</t>
        </is>
      </c>
      <c r="C19" s="27" t="inlineStr">
        <is>
          <t>Senior</t>
        </is>
      </c>
      <c r="D19" s="33" t="n">
        <v>950</v>
      </c>
      <c r="E19" s="33" t="n">
        <v>1700</v>
      </c>
      <c r="F19" s="28" t="inlineStr">
        <is>
          <t>Domain fine-tuning (medical Arabic, legal Arabic, financial Arabic) on sovereign GPU. RAG quality.</t>
        </is>
      </c>
    </row>
    <row r="20">
      <c r="B20" s="25" t="inlineStr">
        <is>
          <t>Hardware / On-Prem Infra Engineer (Tier 3)</t>
        </is>
      </c>
      <c r="C20" s="27" t="inlineStr">
        <is>
          <t>Senior</t>
        </is>
      </c>
      <c r="D20" s="33" t="n">
        <v>1000</v>
      </c>
      <c r="E20" s="33" t="n">
        <v>1700</v>
      </c>
      <c r="F20" s="28" t="inlineStr">
        <is>
          <t>On-customer-site GPU cluster install, networking, storage, NVAIE; coordinates with Help AG for security wrap.</t>
        </is>
      </c>
    </row>
    <row r="22">
      <c r="B22" s="34" t="inlineStr">
        <is>
          <t>Total roles in plan: 15 (10 SMB-shared + 5 enterprise-specific)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50" customWidth="1" min="9" max="9"/>
  </cols>
  <sheetData>
    <row r="2">
      <c r="B2" s="19" t="inlineStr">
        <is>
          <t>Wave E0 — Enterprise Platform Extensions  (P1 + P2 layers on top of SMB platform)</t>
        </is>
      </c>
    </row>
    <row r="3">
      <c r="B3" s="32" t="inlineStr">
        <is>
          <t>IN PLAIN ENGLISH: One-off build of the enterprise-readiness layer that Tier 1/2/3 deals reuse. RBAC, audit trail, trust tiers, ERP framework, fine-tuning sub-platform. ~12 weeks across 5 phases.</t>
        </is>
      </c>
    </row>
    <row r="5">
      <c r="B5" s="24" t="inlineStr">
        <is>
          <t>Role</t>
        </is>
      </c>
      <c r="C5" s="24" t="inlineStr">
        <is>
          <t>EP1 — Mobilisation &amp; SDD</t>
        </is>
      </c>
      <c r="D5" s="24" t="inlineStr">
        <is>
          <t>EP2 — Trust Tiers + RBAC + Audit</t>
        </is>
      </c>
      <c r="E5" s="24" t="inlineStr">
        <is>
          <t>EP3 — ERP/CRM/HIS Integration Framework</t>
        </is>
      </c>
      <c r="F5" s="24" t="inlineStr">
        <is>
          <t>EP4 — Fine-Tuning Sub-Platform</t>
        </is>
      </c>
      <c r="G5" s="24" t="inlineStr">
        <is>
          <t>EP5 — Hardening, Pen-Test, GA</t>
        </is>
      </c>
      <c r="H5" s="24" t="inlineStr">
        <is>
          <t>Total p-weeks</t>
        </is>
      </c>
      <c r="I5" s="24" t="inlineStr">
        <is>
          <t>Notes</t>
        </is>
      </c>
    </row>
    <row r="6">
      <c r="B6" s="25" t="inlineStr">
        <is>
          <t>Phase duration (weeks)</t>
        </is>
      </c>
      <c r="C6" s="35" t="n">
        <v>2</v>
      </c>
      <c r="D6" s="35" t="n">
        <v>3</v>
      </c>
      <c r="E6" s="35" t="n">
        <v>3</v>
      </c>
      <c r="F6" s="35" t="n">
        <v>2</v>
      </c>
      <c r="G6" s="35" t="n">
        <v>2</v>
      </c>
      <c r="H6" s="36">
        <f>SUM(C6:G6)</f>
        <v/>
      </c>
      <c r="I6" s="37" t="n"/>
    </row>
    <row r="7">
      <c r="B7" s="25" t="inlineStr">
        <is>
          <t>Engagement / Programme Manager</t>
        </is>
      </c>
      <c r="C7" s="35" t="n">
        <v>1</v>
      </c>
      <c r="D7" s="35" t="n">
        <v>1</v>
      </c>
      <c r="E7" s="35" t="n">
        <v>1</v>
      </c>
      <c r="F7" s="35" t="n">
        <v>1</v>
      </c>
      <c r="G7" s="35" t="n">
        <v>1</v>
      </c>
      <c r="H7" s="36">
        <f>SUM(C7:G7)</f>
        <v/>
      </c>
      <c r="I7" s="28" t="inlineStr">
        <is>
          <t>Engagement coordination across the 12-week build.</t>
        </is>
      </c>
    </row>
    <row r="8">
      <c r="B8" s="25" t="inlineStr">
        <is>
          <t>Solution Architect (Lead)</t>
        </is>
      </c>
      <c r="C8" s="35" t="n">
        <v>2</v>
      </c>
      <c r="D8" s="35" t="n">
        <v>2</v>
      </c>
      <c r="E8" s="35" t="n">
        <v>2</v>
      </c>
      <c r="F8" s="35" t="n">
        <v>1</v>
      </c>
      <c r="G8" s="35" t="n">
        <v>1</v>
      </c>
      <c r="H8" s="36">
        <f>SUM(C8:G8)</f>
        <v/>
      </c>
      <c r="I8" s="28" t="inlineStr">
        <is>
          <t>Architects own trust tier framework, namespace design, audit pipeline, ERP integration patterns.</t>
        </is>
      </c>
    </row>
    <row r="9">
      <c r="B9" s="25" t="inlineStr">
        <is>
          <t>AI / LLM Engineer — Orchestration &amp; Reasoning</t>
        </is>
      </c>
      <c r="C9" s="35" t="n">
        <v>1</v>
      </c>
      <c r="D9" s="35" t="n">
        <v>2</v>
      </c>
      <c r="E9" s="35" t="n">
        <v>2</v>
      </c>
      <c r="F9" s="35" t="n">
        <v>2</v>
      </c>
      <c r="G9" s="35" t="n">
        <v>1</v>
      </c>
      <c r="H9" s="36">
        <f>SUM(C9:G9)</f>
        <v/>
      </c>
      <c r="I9" s="28" t="inlineStr">
        <is>
          <t>Tools-calling adapters for ERP/CRM/HIS, SSO providers, audit emitters.</t>
        </is>
      </c>
    </row>
    <row r="10">
      <c r="B10" s="25" t="inlineStr">
        <is>
          <t>Voice / Conversational Engineer</t>
        </is>
      </c>
      <c r="C10" s="35" t="n">
        <v>0</v>
      </c>
      <c r="D10" s="35" t="n">
        <v>0</v>
      </c>
      <c r="E10" s="35" t="n">
        <v>0</v>
      </c>
      <c r="F10" s="35" t="n">
        <v>0</v>
      </c>
      <c r="G10" s="35" t="n">
        <v>0</v>
      </c>
      <c r="H10" s="36">
        <f>SUM(C10:G10)</f>
        <v/>
      </c>
      <c r="I10" s="28" t="inlineStr">
        <is>
          <t>—</t>
        </is>
      </c>
    </row>
    <row r="11">
      <c r="B11" s="25" t="inlineStr">
        <is>
          <t>Data &amp; Integration Engineer</t>
        </is>
      </c>
      <c r="C11" s="35" t="n">
        <v>1</v>
      </c>
      <c r="D11" s="35" t="n">
        <v>2</v>
      </c>
      <c r="E11" s="35" t="n">
        <v>3</v>
      </c>
      <c r="F11" s="35" t="n">
        <v>1</v>
      </c>
      <c r="G11" s="35" t="n">
        <v>1</v>
      </c>
      <c r="H11" s="36">
        <f>SUM(C11:G11)</f>
        <v/>
      </c>
      <c r="I11" s="28" t="inlineStr">
        <is>
          <t>ERP/CRM/HIS connector framework (Oracle, SAP, Epic, Temenos, Dynamics).</t>
        </is>
      </c>
    </row>
    <row r="12">
      <c r="B12" s="25" t="inlineStr">
        <is>
          <t>Frontend / UX Engineer</t>
        </is>
      </c>
      <c r="C12" s="35" t="n">
        <v>1</v>
      </c>
      <c r="D12" s="35" t="n">
        <v>2</v>
      </c>
      <c r="E12" s="35" t="n">
        <v>2</v>
      </c>
      <c r="F12" s="35" t="n">
        <v>1</v>
      </c>
      <c r="G12" s="35" t="n">
        <v>1</v>
      </c>
      <c r="H12" s="36">
        <f>SUM(C12:G12)</f>
        <v/>
      </c>
      <c r="I12" s="28" t="inlineStr">
        <is>
          <t>Admin console: trust tier UI, RBAC, audit viewer, fine-tune dashboard.</t>
        </is>
      </c>
    </row>
    <row r="13">
      <c r="B13" s="25" t="inlineStr">
        <is>
          <t>DevOps / Platform Engineer</t>
        </is>
      </c>
      <c r="C13" s="35" t="n">
        <v>2</v>
      </c>
      <c r="D13" s="35" t="n">
        <v>3</v>
      </c>
      <c r="E13" s="35" t="n">
        <v>2</v>
      </c>
      <c r="F13" s="35" t="n">
        <v>2</v>
      </c>
      <c r="G13" s="35" t="n">
        <v>2</v>
      </c>
      <c r="H13" s="36">
        <f>SUM(C13:G13)</f>
        <v/>
      </c>
      <c r="I13" s="28" t="inlineStr">
        <is>
          <t>Tenant isolation, namespace-per-tenant (T2), kernel-sandboxed runtime (T3 prep).</t>
        </is>
      </c>
    </row>
    <row r="14">
      <c r="B14" s="25" t="inlineStr">
        <is>
          <t>QA Engineer</t>
        </is>
      </c>
      <c r="C14" s="35" t="n">
        <v>1</v>
      </c>
      <c r="D14" s="35" t="n">
        <v>2</v>
      </c>
      <c r="E14" s="35" t="n">
        <v>2</v>
      </c>
      <c r="F14" s="35" t="n">
        <v>1</v>
      </c>
      <c r="G14" s="35" t="n">
        <v>2</v>
      </c>
      <c r="H14" s="36">
        <f>SUM(C14:G14)</f>
        <v/>
      </c>
      <c r="I14" s="28" t="inlineStr">
        <is>
          <t>Security testing, compliance test pack, regression for trust-tier transitions.</t>
        </is>
      </c>
    </row>
    <row r="15">
      <c r="B15" s="25" t="inlineStr">
        <is>
          <t>Security / Compliance Lead</t>
        </is>
      </c>
      <c r="C15" s="35" t="n">
        <v>2</v>
      </c>
      <c r="D15" s="35" t="n">
        <v>3</v>
      </c>
      <c r="E15" s="35" t="n">
        <v>2</v>
      </c>
      <c r="F15" s="35" t="n">
        <v>2</v>
      </c>
      <c r="G15" s="35" t="n">
        <v>2</v>
      </c>
      <c r="H15" s="36">
        <f>SUM(C15:G15)</f>
        <v/>
      </c>
      <c r="I15" s="28" t="inlineStr">
        <is>
          <t>Owns NESA / ISO 27017/27018 / SOC 2 Type II uplift; engages pen-test partner.</t>
        </is>
      </c>
    </row>
    <row r="16">
      <c r="B16" s="25" t="inlineStr">
        <is>
          <t>Customer Success / Beta Ops Lead</t>
        </is>
      </c>
      <c r="C16" s="35" t="n">
        <v>0</v>
      </c>
      <c r="D16" s="35" t="n">
        <v>0</v>
      </c>
      <c r="E16" s="35" t="n">
        <v>0</v>
      </c>
      <c r="F16" s="35" t="n">
        <v>0</v>
      </c>
      <c r="G16" s="35" t="n">
        <v>0</v>
      </c>
      <c r="H16" s="36">
        <f>SUM(C16:G16)</f>
        <v/>
      </c>
      <c r="I16" s="28" t="inlineStr">
        <is>
          <t>—</t>
        </is>
      </c>
    </row>
    <row r="17">
      <c r="B17" s="25" t="inlineStr">
        <is>
          <t>ERP / Systems Integration Architect</t>
        </is>
      </c>
      <c r="C17" s="35" t="n">
        <v>1</v>
      </c>
      <c r="D17" s="35" t="n">
        <v>1</v>
      </c>
      <c r="E17" s="35" t="n">
        <v>3</v>
      </c>
      <c r="F17" s="35" t="n">
        <v>1</v>
      </c>
      <c r="G17" s="35" t="n">
        <v>1</v>
      </c>
      <c r="H17" s="36">
        <f>SUM(C17:G17)</f>
        <v/>
      </c>
      <c r="I17" s="28" t="inlineStr">
        <is>
          <t>Owns ERP integration patterns library — reusable across every Tier 1/2/3 deal.</t>
        </is>
      </c>
    </row>
    <row r="18">
      <c r="B18" s="25" t="inlineStr">
        <is>
          <t>Regulatory &amp; Compliance SME</t>
        </is>
      </c>
      <c r="C18" s="35" t="n">
        <v>1</v>
      </c>
      <c r="D18" s="35" t="n">
        <v>2</v>
      </c>
      <c r="E18" s="35" t="n">
        <v>2</v>
      </c>
      <c r="F18" s="35" t="n">
        <v>1</v>
      </c>
      <c r="G18" s="35" t="n">
        <v>2</v>
      </c>
      <c r="H18" s="36">
        <f>SUM(C18:G18)</f>
        <v/>
      </c>
      <c r="I18" s="28" t="inlineStr">
        <is>
          <t>Maps DHA / CBUAE / NESA / ADDA controls to platform features; signs off on audit evidence.</t>
        </is>
      </c>
    </row>
    <row r="19">
      <c r="B19" s="25" t="inlineStr">
        <is>
          <t>Industry SME (per vertical)</t>
        </is>
      </c>
      <c r="C19" s="35" t="n">
        <v>0</v>
      </c>
      <c r="D19" s="35" t="n">
        <v>0</v>
      </c>
      <c r="E19" s="35" t="n">
        <v>0</v>
      </c>
      <c r="F19" s="35" t="n">
        <v>0</v>
      </c>
      <c r="G19" s="35" t="n">
        <v>0</v>
      </c>
      <c r="H19" s="36">
        <f>SUM(C19:G19)</f>
        <v/>
      </c>
      <c r="I19" s="28" t="inlineStr">
        <is>
          <t>—</t>
        </is>
      </c>
    </row>
    <row r="20">
      <c r="B20" s="25" t="inlineStr">
        <is>
          <t>ML / Fine-Tuning Engineer</t>
        </is>
      </c>
      <c r="C20" s="35" t="n">
        <v>0</v>
      </c>
      <c r="D20" s="35" t="n">
        <v>0</v>
      </c>
      <c r="E20" s="35" t="n">
        <v>0</v>
      </c>
      <c r="F20" s="35" t="n">
        <v>2</v>
      </c>
      <c r="G20" s="35" t="n">
        <v>1</v>
      </c>
      <c r="H20" s="36">
        <f>SUM(C20:G20)</f>
        <v/>
      </c>
      <c r="I20" s="28" t="inlineStr">
        <is>
          <t>Stands up fine-tuning sub-platform — sovereign training jobs on G42 GPU.</t>
        </is>
      </c>
    </row>
    <row r="21">
      <c r="B21" s="25" t="inlineStr">
        <is>
          <t>Hardware / On-Prem Infra Engineer (Tier 3)</t>
        </is>
      </c>
      <c r="C21" s="35" t="n">
        <v>0</v>
      </c>
      <c r="D21" s="35" t="n">
        <v>0</v>
      </c>
      <c r="E21" s="35" t="n">
        <v>0</v>
      </c>
      <c r="F21" s="35" t="n">
        <v>0</v>
      </c>
      <c r="G21" s="35" t="n">
        <v>0</v>
      </c>
      <c r="H21" s="36">
        <f>SUM(C21:G21)</f>
        <v/>
      </c>
      <c r="I21" s="28" t="inlineStr">
        <is>
          <t>—</t>
        </is>
      </c>
    </row>
    <row r="22">
      <c r="B22" s="38" t="inlineStr">
        <is>
          <t>Total person-weeks per phase</t>
        </is>
      </c>
      <c r="C22" s="36">
        <f>SUM(C7:C21)</f>
        <v/>
      </c>
      <c r="D22" s="36">
        <f>SUM(D7:D21)</f>
        <v/>
      </c>
      <c r="E22" s="36">
        <f>SUM(E7:E21)</f>
        <v/>
      </c>
      <c r="F22" s="36">
        <f>SUM(F7:F21)</f>
        <v/>
      </c>
      <c r="G22" s="36">
        <f>SUM(G7:G21)</f>
        <v/>
      </c>
      <c r="H22" s="39">
        <f>SUM(H7:H21)</f>
        <v/>
      </c>
    </row>
    <row r="24">
      <c r="B24" s="23" t="inlineStr">
        <is>
          <t>Personnel cost (USD)</t>
        </is>
      </c>
    </row>
    <row r="25">
      <c r="B25" s="25" t="inlineStr">
        <is>
          <t>Personnel cost — sum across phases</t>
        </is>
      </c>
      <c r="H25" s="40">
        <f>(H7*'2. Roles &amp; Rates'!D6+H8*'2. Roles &amp; Rates'!D7+H9*'2. Roles &amp; Rates'!D8+H10*'2. Roles &amp; Rates'!D9+H11*'2. Roles &amp; Rates'!D10+H12*'2. Roles &amp; Rates'!D11+H13*'2. Roles &amp; Rates'!D12+H14*'2. Roles &amp; Rates'!D13+H15*'2. Roles &amp; Rates'!D14+H16*'2. Roles &amp; Rates'!D15+H17*'2. Roles &amp; Rates'!D16+H18*'2. Roles &amp; Rates'!D17+H19*'2. Roles &amp; Rates'!D18+H20*'2. Roles &amp; Rates'!D19+H21*'2. Roles &amp; Rates'!D20)*'1. Cover &amp; Assumptions'!$C$24</f>
        <v/>
      </c>
    </row>
    <row r="26">
      <c r="B26" s="25" t="inlineStr">
        <is>
          <t>Other costs (cloud, LLM, security tools, pen-test)</t>
        </is>
      </c>
      <c r="H26" s="33" t="n">
        <v>85000</v>
      </c>
      <c r="I26" s="41" t="inlineStr">
        <is>
          <t>Cloud dev/staging, LLM gateway, observability, pen-test ($25K), security tools, contingency cushion. Editable.</t>
        </is>
      </c>
    </row>
    <row r="27">
      <c r="B27" s="38" t="inlineStr">
        <is>
          <t>Direct cost — sum</t>
        </is>
      </c>
      <c r="H27" s="42">
        <f>H25+H26</f>
        <v/>
      </c>
    </row>
    <row r="28">
      <c r="B28" s="25" t="inlineStr">
        <is>
          <t>Contingency (12% — moderate complexity)</t>
        </is>
      </c>
      <c r="H28" s="43">
        <f>H27*0.12</f>
        <v/>
      </c>
    </row>
    <row r="29">
      <c r="B29" s="38" t="inlineStr">
        <is>
          <t>Total fully-loaded cost</t>
        </is>
      </c>
      <c r="H29" s="40">
        <f>H27+H28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</cols>
  <sheetData>
    <row r="2">
      <c r="B2" s="19" t="inlineStr">
        <is>
          <t>Tier 1 — Adapted SMB Agents (Enterprise Edition)</t>
        </is>
      </c>
    </row>
    <row r="3">
      <c r="B3" s="32" t="inlineStr">
        <is>
          <t>IN PLAIN ENGLISH: Each enterprise customer gets adapted versions of the SMB agents — same agent IP, but with multi-branch routing, deep ERP/CRM/HIS connectors, compliance logging, fine-tuning. We DON'T rebuild the agent — we configure &amp; extend it. That is why the cost is only ~$30-60K per agent.</t>
        </is>
      </c>
    </row>
    <row r="5">
      <c r="B5" s="24" t="inlineStr">
        <is>
          <t>Role</t>
        </is>
      </c>
      <c r="C5" s="24" t="inlineStr">
        <is>
          <t>Cost / day</t>
        </is>
      </c>
      <c r="D5" s="24" t="inlineStr">
        <is>
          <t>Customer Agent (Enterprise)</t>
        </is>
      </c>
      <c r="E5" s="24" t="inlineStr">
        <is>
          <t>Sales Agent (Enterprise)</t>
        </is>
      </c>
      <c r="F5" s="24" t="inlineStr">
        <is>
          <t>Comms Hub (Enterprise)</t>
        </is>
      </c>
      <c r="G5" s="24" t="inlineStr">
        <is>
          <t>Finance Agent (Enterprise)</t>
        </is>
      </c>
      <c r="H5" s="24" t="inlineStr">
        <is>
          <t>Ops Agent (Enterprise)</t>
        </is>
      </c>
      <c r="I5" s="24" t="inlineStr">
        <is>
          <t>People Agent (Enterprise)</t>
        </is>
      </c>
      <c r="J5" s="24" t="inlineStr">
        <is>
          <t>Total p-weeks</t>
        </is>
      </c>
      <c r="K5" s="24" t="inlineStr">
        <is>
          <t>Notes</t>
        </is>
      </c>
    </row>
    <row r="6">
      <c r="B6" s="25" t="inlineStr">
        <is>
          <t>Engagement / Programme Manager</t>
        </is>
      </c>
      <c r="C6" s="43">
        <f>'2. Roles &amp; Rates'!D6</f>
        <v/>
      </c>
      <c r="D6" s="35" t="n">
        <v>1</v>
      </c>
      <c r="E6" s="35" t="n">
        <v>1</v>
      </c>
      <c r="F6" s="35" t="n">
        <v>1</v>
      </c>
      <c r="G6" s="35" t="n">
        <v>1</v>
      </c>
      <c r="H6" s="35" t="n">
        <v>1</v>
      </c>
      <c r="I6" s="35" t="n">
        <v>1</v>
      </c>
      <c r="J6" s="36">
        <f>SUM(D6:I6)</f>
        <v/>
      </c>
      <c r="K6" s="28" t="inlineStr">
        <is>
          <t>Engagement &amp; e&amp;-customer coordination.</t>
        </is>
      </c>
    </row>
    <row r="7">
      <c r="B7" s="25" t="inlineStr">
        <is>
          <t>Solution Architect (Lead)</t>
        </is>
      </c>
      <c r="C7" s="43">
        <f>'2. Roles &amp; Rates'!D7</f>
        <v/>
      </c>
      <c r="D7" s="35" t="n">
        <v>1</v>
      </c>
      <c r="E7" s="35" t="n">
        <v>1</v>
      </c>
      <c r="F7" s="35" t="n">
        <v>1</v>
      </c>
      <c r="G7" s="35" t="n">
        <v>1</v>
      </c>
      <c r="H7" s="35" t="n">
        <v>1</v>
      </c>
      <c r="I7" s="35" t="n">
        <v>1</v>
      </c>
      <c r="J7" s="36">
        <f>SUM(D7:I7)</f>
        <v/>
      </c>
      <c r="K7" s="28" t="inlineStr">
        <is>
          <t>Solution architect signs off integration design + trust tier mapping.</t>
        </is>
      </c>
    </row>
    <row r="8">
      <c r="B8" s="25" t="inlineStr">
        <is>
          <t>AI / LLM Engineer — Orchestration &amp; Reasoning</t>
        </is>
      </c>
      <c r="C8" s="43">
        <f>'2. Roles &amp; Rates'!D8</f>
        <v/>
      </c>
      <c r="D8" s="35" t="n">
        <v>2</v>
      </c>
      <c r="E8" s="35" t="n">
        <v>2</v>
      </c>
      <c r="F8" s="35" t="n">
        <v>2</v>
      </c>
      <c r="G8" s="35" t="n">
        <v>2</v>
      </c>
      <c r="H8" s="35" t="n">
        <v>2</v>
      </c>
      <c r="I8" s="35" t="n">
        <v>2</v>
      </c>
      <c r="J8" s="36">
        <f>SUM(D8:I8)</f>
        <v/>
      </c>
      <c r="K8" s="28" t="inlineStr">
        <is>
          <t>Enterprise prompt tuning + new tools per ERP/CRM/HIS context.</t>
        </is>
      </c>
    </row>
    <row r="9">
      <c r="B9" s="25" t="inlineStr">
        <is>
          <t>Voice / Conversational Engineer</t>
        </is>
      </c>
      <c r="C9" s="43">
        <f>'2. Roles &amp; Rates'!D9</f>
        <v/>
      </c>
      <c r="D9" s="35" t="n">
        <v>1</v>
      </c>
      <c r="E9" s="35" t="n">
        <v>0</v>
      </c>
      <c r="F9" s="35" t="n">
        <v>2</v>
      </c>
      <c r="G9" s="35" t="n">
        <v>0</v>
      </c>
      <c r="H9" s="35" t="n">
        <v>0</v>
      </c>
      <c r="I9" s="35" t="n">
        <v>0</v>
      </c>
      <c r="J9" s="36">
        <f>SUM(D9:I9)</f>
        <v/>
      </c>
      <c r="K9" s="28" t="inlineStr">
        <is>
          <t>Voice only on Customer Agent + Comms Hub (multi-branch IVR).</t>
        </is>
      </c>
    </row>
    <row r="10">
      <c r="B10" s="25" t="inlineStr">
        <is>
          <t>Data &amp; Integration Engineer</t>
        </is>
      </c>
      <c r="C10" s="43">
        <f>'2. Roles &amp; Rates'!D10</f>
        <v/>
      </c>
      <c r="D10" s="35" t="n">
        <v>3</v>
      </c>
      <c r="E10" s="35" t="n">
        <v>3</v>
      </c>
      <c r="F10" s="35" t="n">
        <v>3</v>
      </c>
      <c r="G10" s="35" t="n">
        <v>4</v>
      </c>
      <c r="H10" s="35" t="n">
        <v>3</v>
      </c>
      <c r="I10" s="35" t="n">
        <v>4</v>
      </c>
      <c r="J10" s="36">
        <f>SUM(D10:I10)</f>
        <v/>
      </c>
      <c r="K10" s="28" t="inlineStr">
        <is>
          <t>Heaviest role — connector to customer's ERP/CRM/HIS instance.</t>
        </is>
      </c>
    </row>
    <row r="11">
      <c r="B11" s="25" t="inlineStr">
        <is>
          <t>Frontend / UX Engineer</t>
        </is>
      </c>
      <c r="C11" s="43">
        <f>'2. Roles &amp; Rates'!D11</f>
        <v/>
      </c>
      <c r="D11" s="35" t="n">
        <v>1</v>
      </c>
      <c r="E11" s="35" t="n">
        <v>1</v>
      </c>
      <c r="F11" s="35" t="n">
        <v>1</v>
      </c>
      <c r="G11" s="35" t="n">
        <v>1</v>
      </c>
      <c r="H11" s="35" t="n">
        <v>1</v>
      </c>
      <c r="I11" s="35" t="n">
        <v>1</v>
      </c>
      <c r="J11" s="36">
        <f>SUM(D11:I11)</f>
        <v/>
      </c>
      <c r="K11" s="28" t="inlineStr">
        <is>
          <t>Light UI tweaks — multi-branch routing, custom branding.</t>
        </is>
      </c>
    </row>
    <row r="12">
      <c r="B12" s="25" t="inlineStr">
        <is>
          <t>DevOps / Platform Engineer</t>
        </is>
      </c>
      <c r="C12" s="43">
        <f>'2. Roles &amp; Rates'!D12</f>
        <v/>
      </c>
      <c r="D12" s="35" t="n">
        <v>1</v>
      </c>
      <c r="E12" s="35" t="n">
        <v>1</v>
      </c>
      <c r="F12" s="35" t="n">
        <v>1</v>
      </c>
      <c r="G12" s="35" t="n">
        <v>1</v>
      </c>
      <c r="H12" s="35" t="n">
        <v>1</v>
      </c>
      <c r="I12" s="35" t="n">
        <v>1</v>
      </c>
      <c r="J12" s="36">
        <f>SUM(D12:I12)</f>
        <v/>
      </c>
      <c r="K12" s="28" t="inlineStr">
        <is>
          <t>Tenant onboarding into customer's environment + observability hooks.</t>
        </is>
      </c>
    </row>
    <row r="13">
      <c r="B13" s="25" t="inlineStr">
        <is>
          <t>QA Engineer</t>
        </is>
      </c>
      <c r="C13" s="43">
        <f>'2. Roles &amp; Rates'!D13</f>
        <v/>
      </c>
      <c r="D13" s="35" t="n">
        <v>1</v>
      </c>
      <c r="E13" s="35" t="n">
        <v>1</v>
      </c>
      <c r="F13" s="35" t="n">
        <v>1</v>
      </c>
      <c r="G13" s="35" t="n">
        <v>2</v>
      </c>
      <c r="H13" s="35" t="n">
        <v>1</v>
      </c>
      <c r="I13" s="35" t="n">
        <v>2</v>
      </c>
      <c r="J13" s="36">
        <f>SUM(D13:I13)</f>
        <v/>
      </c>
      <c r="K13" s="28" t="inlineStr">
        <is>
          <t>Per-agent acceptance tests + compliance test pack.</t>
        </is>
      </c>
    </row>
    <row r="14">
      <c r="B14" s="25" t="inlineStr">
        <is>
          <t>Security / Compliance Lead</t>
        </is>
      </c>
      <c r="C14" s="43">
        <f>'2. Roles &amp; Rates'!D14</f>
        <v/>
      </c>
      <c r="D14" s="35" t="n">
        <v>1</v>
      </c>
      <c r="E14" s="35" t="n">
        <v>1</v>
      </c>
      <c r="F14" s="35" t="n">
        <v>1</v>
      </c>
      <c r="G14" s="35" t="n">
        <v>2</v>
      </c>
      <c r="H14" s="35" t="n">
        <v>1</v>
      </c>
      <c r="I14" s="35" t="n">
        <v>2</v>
      </c>
      <c r="J14" s="36">
        <f>SUM(D14:I14)</f>
        <v/>
      </c>
      <c r="K14" s="28" t="inlineStr">
        <is>
          <t>Compliance logging + audit trail wiring + RBAC config.</t>
        </is>
      </c>
    </row>
    <row r="15">
      <c r="B15" s="25" t="inlineStr">
        <is>
          <t>Customer Success / Beta Ops Lead</t>
        </is>
      </c>
      <c r="C15" s="43">
        <f>'2. Roles &amp; Rates'!D15</f>
        <v/>
      </c>
      <c r="D15" s="35" t="n">
        <v>1</v>
      </c>
      <c r="E15" s="35" t="n">
        <v>1</v>
      </c>
      <c r="F15" s="35" t="n">
        <v>1</v>
      </c>
      <c r="G15" s="35" t="n">
        <v>1</v>
      </c>
      <c r="H15" s="35" t="n">
        <v>1</v>
      </c>
      <c r="I15" s="35" t="n">
        <v>1</v>
      </c>
      <c r="J15" s="36">
        <f>SUM(D15:I15)</f>
        <v/>
      </c>
      <c r="K15" s="28" t="inlineStr">
        <is>
          <t>Pilot user onboarding + hypercare for 30 days.</t>
        </is>
      </c>
    </row>
    <row r="16">
      <c r="B16" s="25" t="inlineStr">
        <is>
          <t>ERP / Systems Integration Architect</t>
        </is>
      </c>
      <c r="C16" s="43">
        <f>'2. Roles &amp; Rates'!D16</f>
        <v/>
      </c>
      <c r="D16" s="35" t="n">
        <v>2</v>
      </c>
      <c r="E16" s="35" t="n">
        <v>2</v>
      </c>
      <c r="F16" s="35" t="n">
        <v>2</v>
      </c>
      <c r="G16" s="35" t="n">
        <v>3</v>
      </c>
      <c r="H16" s="35" t="n">
        <v>2</v>
      </c>
      <c r="I16" s="35" t="n">
        <v>3</v>
      </c>
      <c r="J16" s="36">
        <f>SUM(D16:I16)</f>
        <v/>
      </c>
      <c r="K16" s="28" t="inlineStr">
        <is>
          <t>Critical role — Oracle Fusion / SAP S/4HANA / Epic / Temenos / Dynamics integration.</t>
        </is>
      </c>
    </row>
    <row r="17">
      <c r="B17" s="25" t="inlineStr">
        <is>
          <t>Regulatory &amp; Compliance SME</t>
        </is>
      </c>
      <c r="C17" s="43">
        <f>'2. Roles &amp; Rates'!D17</f>
        <v/>
      </c>
      <c r="D17" s="35" t="n">
        <v>1</v>
      </c>
      <c r="E17" s="35" t="n">
        <v>1</v>
      </c>
      <c r="F17" s="35" t="n">
        <v>1</v>
      </c>
      <c r="G17" s="35" t="n">
        <v>2</v>
      </c>
      <c r="H17" s="35" t="n">
        <v>1</v>
      </c>
      <c r="I17" s="35" t="n">
        <v>2</v>
      </c>
      <c r="J17" s="36">
        <f>SUM(D17:I17)</f>
        <v/>
      </c>
      <c r="K17" s="28" t="inlineStr">
        <is>
          <t>Maps customer-specific compliance (DHA / CBUAE / NESA / ADDA) to controls.</t>
        </is>
      </c>
    </row>
    <row r="18">
      <c r="B18" s="25" t="inlineStr">
        <is>
          <t>Industry SME (per vertical)</t>
        </is>
      </c>
      <c r="C18" s="43">
        <f>'2. Roles &amp; Rates'!D18</f>
        <v/>
      </c>
      <c r="D18" s="35" t="n">
        <v>2</v>
      </c>
      <c r="E18" s="35" t="n">
        <v>2</v>
      </c>
      <c r="F18" s="35" t="n">
        <v>2</v>
      </c>
      <c r="G18" s="35" t="n">
        <v>2</v>
      </c>
      <c r="H18" s="35" t="n">
        <v>2</v>
      </c>
      <c r="I18" s="35" t="n">
        <v>2</v>
      </c>
      <c r="J18" s="36">
        <f>SUM(D18:I18)</f>
        <v/>
      </c>
      <c r="K18" s="28" t="inlineStr">
        <is>
          <t>Healthcare / Banking / Energy / Real Estate / Government domain expert.</t>
        </is>
      </c>
    </row>
    <row r="19">
      <c r="B19" s="25" t="inlineStr">
        <is>
          <t>ML / Fine-Tuning Engineer</t>
        </is>
      </c>
      <c r="C19" s="43">
        <f>'2. Roles &amp; Rates'!D19</f>
        <v/>
      </c>
      <c r="D19" s="35" t="n">
        <v>1</v>
      </c>
      <c r="E19" s="35" t="n">
        <v>1</v>
      </c>
      <c r="F19" s="35" t="n">
        <v>1</v>
      </c>
      <c r="G19" s="35" t="n">
        <v>1</v>
      </c>
      <c r="H19" s="35" t="n">
        <v>1</v>
      </c>
      <c r="I19" s="35" t="n">
        <v>1</v>
      </c>
      <c r="J19" s="36">
        <f>SUM(D19:I19)</f>
        <v/>
      </c>
      <c r="K19" s="28" t="inlineStr">
        <is>
          <t>Light per-agent fine-tune (industry vocab, customer-specific patterns).</t>
        </is>
      </c>
    </row>
    <row r="20">
      <c r="B20" s="25" t="inlineStr">
        <is>
          <t>Hardware / On-Prem Infra Engineer (Tier 3)</t>
        </is>
      </c>
      <c r="C20" s="43">
        <f>'2. Roles &amp; Rates'!D20</f>
        <v/>
      </c>
      <c r="D20" s="35" t="n">
        <v>0</v>
      </c>
      <c r="E20" s="35" t="n">
        <v>0</v>
      </c>
      <c r="F20" s="35" t="n">
        <v>0</v>
      </c>
      <c r="G20" s="35" t="n">
        <v>0</v>
      </c>
      <c r="H20" s="35" t="n">
        <v>0</v>
      </c>
      <c r="I20" s="35" t="n">
        <v>0</v>
      </c>
      <c r="J20" s="36">
        <f>SUM(D20:I20)</f>
        <v/>
      </c>
      <c r="K20" s="28" t="inlineStr">
        <is>
          <t>—</t>
        </is>
      </c>
    </row>
    <row r="21">
      <c r="B21" s="38" t="inlineStr">
        <is>
          <t>Total person-weeks per agent</t>
        </is>
      </c>
      <c r="D21" s="36">
        <f>SUM(D6:D20)</f>
        <v/>
      </c>
      <c r="E21" s="36">
        <f>SUM(E6:E20)</f>
        <v/>
      </c>
      <c r="F21" s="36">
        <f>SUM(F6:F20)</f>
        <v/>
      </c>
      <c r="G21" s="36">
        <f>SUM(G6:G20)</f>
        <v/>
      </c>
      <c r="H21" s="36">
        <f>SUM(H6:H20)</f>
        <v/>
      </c>
      <c r="I21" s="36">
        <f>SUM(I6:I20)</f>
        <v/>
      </c>
      <c r="J21" s="36">
        <f>SUM(J6:J20)</f>
        <v/>
      </c>
    </row>
    <row r="23">
      <c r="B23" s="23" t="inlineStr">
        <is>
          <t>Cost per agent (USD)</t>
        </is>
      </c>
    </row>
    <row r="24">
      <c r="B24" s="24" t="inlineStr">
        <is>
          <t>Item</t>
        </is>
      </c>
      <c r="C24" s="24" t="inlineStr">
        <is>
          <t>Customer Agent (Enterprise)</t>
        </is>
      </c>
      <c r="D24" s="24" t="inlineStr">
        <is>
          <t>Sales Agent (Enterprise)</t>
        </is>
      </c>
      <c r="E24" s="24" t="inlineStr">
        <is>
          <t>Comms Hub (Enterprise)</t>
        </is>
      </c>
      <c r="F24" s="24" t="inlineStr">
        <is>
          <t>Finance Agent (Enterprise)</t>
        </is>
      </c>
      <c r="G24" s="24" t="inlineStr">
        <is>
          <t>Ops Agent (Enterprise)</t>
        </is>
      </c>
      <c r="H24" s="24" t="inlineStr">
        <is>
          <t>People Agent (Enterprise)</t>
        </is>
      </c>
      <c r="I24" s="24" t="inlineStr">
        <is>
          <t>Avg per agent</t>
        </is>
      </c>
    </row>
    <row r="25">
      <c r="B25" s="25" t="inlineStr">
        <is>
          <t>Personnel cost</t>
        </is>
      </c>
      <c r="D25" s="42">
        <f>(D6*$C6+D7*$C7+D8*$C8+D9*$C9+D10*$C10+D11*$C11+D12*$C12+D13*$C13+D14*$C14+D15*$C15+D16*$C16+D17*$C17+D18*$C18+D19*$C19+D20*$C20)*'1. Cover &amp; Assumptions'!$C$24</f>
        <v/>
      </c>
      <c r="E25" s="42">
        <f>(E6*$C6+E7*$C7+E8*$C8+E9*$C9+E10*$C10+E11*$C11+E12*$C12+E13*$C13+E14*$C14+E15*$C15+E16*$C16+E17*$C17+E18*$C18+E19*$C19+E20*$C20)*'1. Cover &amp; Assumptions'!$C$24</f>
        <v/>
      </c>
      <c r="F25" s="42">
        <f>(F6*$C6+F7*$C7+F8*$C8+F9*$C9+F10*$C10+F11*$C11+F12*$C12+F13*$C13+F14*$C14+F15*$C15+F16*$C16+F17*$C17+F18*$C18+F19*$C19+F20*$C20)*'1. Cover &amp; Assumptions'!$C$24</f>
        <v/>
      </c>
      <c r="G25" s="42">
        <f>(G6*$C6+G7*$C7+G8*$C8+G9*$C9+G10*$C10+G11*$C11+G12*$C12+G13*$C13+G14*$C14+G15*$C15+G16*$C16+G17*$C17+G18*$C18+G19*$C19+G20*$C20)*'1. Cover &amp; Assumptions'!$C$24</f>
        <v/>
      </c>
      <c r="H25" s="42">
        <f>(H6*$C6+H7*$C7+H8*$C8+H9*$C9+H10*$C10+H11*$C11+H12*$C12+H13*$C13+H14*$C14+H15*$C15+H16*$C16+H17*$C17+H18*$C18+H19*$C19+H20*$C20)*'1. Cover &amp; Assumptions'!$C$24</f>
        <v/>
      </c>
      <c r="I25" s="42">
        <f>(I6*$C6+I7*$C7+I8*$C8+I9*$C9+I10*$C10+I11*$C11+I12*$C12+I13*$C13+I14*$C14+I15*$C15+I16*$C16+I17*$C17+I18*$C18+I19*$C19+I20*$C20)*'1. Cover &amp; Assumptions'!$C$24</f>
        <v/>
      </c>
      <c r="J25" s="40">
        <f>AVERAGE(D25:I25)</f>
        <v/>
      </c>
    </row>
    <row r="26">
      <c r="B26" s="25" t="inlineStr">
        <is>
          <t>Other costs (per agent — sandbox, fine-tune compute, integration env)</t>
        </is>
      </c>
      <c r="D26" s="33" t="n">
        <v>8000</v>
      </c>
      <c r="E26" s="33" t="n">
        <v>8000</v>
      </c>
      <c r="F26" s="33" t="n">
        <v>8000</v>
      </c>
      <c r="G26" s="33" t="n">
        <v>8000</v>
      </c>
      <c r="H26" s="33" t="n">
        <v>8000</v>
      </c>
      <c r="I26" s="33" t="n">
        <v>8000</v>
      </c>
      <c r="J26" s="42">
        <f>AVERAGE(D26:I26)</f>
        <v/>
      </c>
    </row>
    <row r="27">
      <c r="B27" s="38" t="inlineStr">
        <is>
          <t>Total cost per agent (Tier 1)</t>
        </is>
      </c>
      <c r="D27" s="42">
        <f>D25+D26</f>
        <v/>
      </c>
      <c r="E27" s="42">
        <f>E25+E26</f>
        <v/>
      </c>
      <c r="F27" s="42">
        <f>F25+F26</f>
        <v/>
      </c>
      <c r="G27" s="42">
        <f>G25+G26</f>
        <v/>
      </c>
      <c r="H27" s="42">
        <f>H25+H26</f>
        <v/>
      </c>
      <c r="I27" s="42">
        <f>I25+I26</f>
        <v/>
      </c>
      <c r="J27" s="40">
        <f>AVERAGE(D27:I27)</f>
        <v/>
      </c>
    </row>
    <row r="29">
      <c r="B29" s="22" t="inlineStr">
        <is>
          <t>↑ Note: cost EXCLUDES Wave E0 platform extensions (one-off in Sheet 3) and any Help AG security wrap (Tier 3 only).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35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50" customWidth="1" min="10" max="10"/>
  </cols>
  <sheetData>
    <row r="2">
      <c r="B2" s="19" t="inlineStr">
        <is>
          <t>Tier 2 — Custom AI Solutions  (incl. AI Contact Centre Software for Enterprises)</t>
        </is>
      </c>
    </row>
    <row r="3">
      <c r="B3" s="32" t="inlineStr">
        <is>
          <t>IN PLAIN ENGLISH: Bigger custom AI solutions that go beyond the marketplace agents. AI Contact Centre is the headline solution — full CCaaS with voice, WhatsApp, web, agent assist, supervisor analytics, deep ERP/CRM/HIS integration. ~16-24 weeks per project.</t>
        </is>
      </c>
    </row>
    <row r="5">
      <c r="B5" s="24" t="inlineStr">
        <is>
          <t>Role</t>
        </is>
      </c>
      <c r="C5" s="24" t="inlineStr">
        <is>
          <t>Cost / day</t>
        </is>
      </c>
      <c r="D5" s="24" t="inlineStr">
        <is>
          <t>AI Contact Centre Software (Enterprise)</t>
        </is>
      </c>
      <c r="E5" s="24" t="inlineStr">
        <is>
          <t>Document Intelligence Suite</t>
        </is>
      </c>
      <c r="F5" s="24" t="inlineStr">
        <is>
          <t>Approval Orchestration Platform</t>
        </is>
      </c>
      <c r="G5" s="24" t="inlineStr">
        <is>
          <t>Predictive Maintenance Agent</t>
        </is>
      </c>
      <c r="H5" s="24" t="inlineStr">
        <is>
          <t>Security &amp; Compliance Agent</t>
        </is>
      </c>
      <c r="I5" s="24" t="inlineStr">
        <is>
          <t>Notes</t>
        </is>
      </c>
    </row>
    <row r="6">
      <c r="B6" s="25" t="inlineStr">
        <is>
          <t>Engagement / Programme Manager</t>
        </is>
      </c>
      <c r="C6" s="43">
        <f>'2. Roles &amp; Rates'!D6</f>
        <v/>
      </c>
      <c r="D6" s="35" t="n">
        <v>4</v>
      </c>
      <c r="E6" s="35" t="n">
        <v>4</v>
      </c>
      <c r="F6" s="35" t="n">
        <v>3</v>
      </c>
      <c r="G6" s="35" t="n">
        <v>4</v>
      </c>
      <c r="H6" s="35" t="n">
        <v>4</v>
      </c>
      <c r="I6" s="28" t="inlineStr">
        <is>
          <t>Engagement coordination across the 16-22 week build.</t>
        </is>
      </c>
    </row>
    <row r="7">
      <c r="B7" s="25" t="inlineStr">
        <is>
          <t>Solution Architect (Lead)</t>
        </is>
      </c>
      <c r="C7" s="43">
        <f>'2. Roles &amp; Rates'!D7</f>
        <v/>
      </c>
      <c r="D7" s="35" t="n">
        <v>3</v>
      </c>
      <c r="E7" s="35" t="n">
        <v>3</v>
      </c>
      <c r="F7" s="35" t="n">
        <v>3</v>
      </c>
      <c r="G7" s="35" t="n">
        <v>3</v>
      </c>
      <c r="H7" s="35" t="n">
        <v>3</v>
      </c>
      <c r="I7" s="28" t="inlineStr">
        <is>
          <t>Architect owns SDD, integration design, latency budget, fallback strategy.</t>
        </is>
      </c>
    </row>
    <row r="8">
      <c r="B8" s="25" t="inlineStr">
        <is>
          <t>AI / LLM Engineer — Orchestration &amp; Reasoning</t>
        </is>
      </c>
      <c r="C8" s="43">
        <f>'2. Roles &amp; Rates'!D8</f>
        <v/>
      </c>
      <c r="D8" s="35" t="n">
        <v>10</v>
      </c>
      <c r="E8" s="35" t="n">
        <v>8</v>
      </c>
      <c r="F8" s="35" t="n">
        <v>8</v>
      </c>
      <c r="G8" s="35" t="n">
        <v>8</v>
      </c>
      <c r="H8" s="35" t="n">
        <v>8</v>
      </c>
      <c r="I8" s="28" t="inlineStr">
        <is>
          <t>Heaviest role — orchestration, prompt engineering, evals, tool calling.</t>
        </is>
      </c>
    </row>
    <row r="9">
      <c r="B9" s="25" t="inlineStr">
        <is>
          <t>Voice / Conversational Engineer</t>
        </is>
      </c>
      <c r="C9" s="43">
        <f>'2. Roles &amp; Rates'!D9</f>
        <v/>
      </c>
      <c r="D9" s="35" t="n">
        <v>12</v>
      </c>
      <c r="E9" s="35" t="n">
        <v>0</v>
      </c>
      <c r="F9" s="35" t="n">
        <v>0</v>
      </c>
      <c r="G9" s="35" t="n">
        <v>0</v>
      </c>
      <c r="H9" s="35" t="n">
        <v>0</v>
      </c>
      <c r="I9" s="28" t="inlineStr">
        <is>
          <t>CCaaS only — STT/TTS, real-time transcription, agent assist, post-call summary.</t>
        </is>
      </c>
    </row>
    <row r="10">
      <c r="B10" s="25" t="inlineStr">
        <is>
          <t>Data &amp; Integration Engineer</t>
        </is>
      </c>
      <c r="C10" s="43">
        <f>'2. Roles &amp; Rates'!D10</f>
        <v/>
      </c>
      <c r="D10" s="35" t="n">
        <v>10</v>
      </c>
      <c r="E10" s="35" t="n">
        <v>8</v>
      </c>
      <c r="F10" s="35" t="n">
        <v>6</v>
      </c>
      <c r="G10" s="35" t="n">
        <v>10</v>
      </c>
      <c r="H10" s="35" t="n">
        <v>6</v>
      </c>
      <c r="I10" s="28" t="inlineStr">
        <is>
          <t>ERP/CRM/HIS integration; CCaaS = CRM screen-pop + ticket creation.</t>
        </is>
      </c>
    </row>
    <row r="11">
      <c r="B11" s="25" t="inlineStr">
        <is>
          <t>Frontend / UX Engineer</t>
        </is>
      </c>
      <c r="C11" s="43">
        <f>'2. Roles &amp; Rates'!D11</f>
        <v/>
      </c>
      <c r="D11" s="35" t="n">
        <v>6</v>
      </c>
      <c r="E11" s="35" t="n">
        <v>6</v>
      </c>
      <c r="F11" s="35" t="n">
        <v>6</v>
      </c>
      <c r="G11" s="35" t="n">
        <v>4</v>
      </c>
      <c r="H11" s="35" t="n">
        <v>4</v>
      </c>
      <c r="I11" s="28" t="inlineStr">
        <is>
          <t>Supervisor/agent UI; CCaaS = wallboards, queue mgmt; Doc Intel = review UI.</t>
        </is>
      </c>
    </row>
    <row r="12">
      <c r="B12" s="25" t="inlineStr">
        <is>
          <t>DevOps / Platform Engineer</t>
        </is>
      </c>
      <c r="C12" s="43">
        <f>'2. Roles &amp; Rates'!D12</f>
        <v/>
      </c>
      <c r="D12" s="35" t="n">
        <v>4</v>
      </c>
      <c r="E12" s="35" t="n">
        <v>3</v>
      </c>
      <c r="F12" s="35" t="n">
        <v>3</v>
      </c>
      <c r="G12" s="35" t="n">
        <v>4</v>
      </c>
      <c r="H12" s="35" t="n">
        <v>3</v>
      </c>
      <c r="I12" s="28" t="inlineStr">
        <is>
          <t>Per-project deployment + observability + cost guardrails.</t>
        </is>
      </c>
    </row>
    <row r="13">
      <c r="B13" s="25" t="inlineStr">
        <is>
          <t>QA Engineer</t>
        </is>
      </c>
      <c r="C13" s="43">
        <f>'2. Roles &amp; Rates'!D13</f>
        <v/>
      </c>
      <c r="D13" s="35" t="n">
        <v>5</v>
      </c>
      <c r="E13" s="35" t="n">
        <v>5</v>
      </c>
      <c r="F13" s="35" t="n">
        <v>4</v>
      </c>
      <c r="G13" s="35" t="n">
        <v>5</v>
      </c>
      <c r="H13" s="35" t="n">
        <v>4</v>
      </c>
      <c r="I13" s="28" t="inlineStr">
        <is>
          <t>Heavy test coverage — voice acceptance, regression, regulator scenarios.</t>
        </is>
      </c>
    </row>
    <row r="14">
      <c r="B14" s="25" t="inlineStr">
        <is>
          <t>Security / Compliance Lead</t>
        </is>
      </c>
      <c r="C14" s="43">
        <f>'2. Roles &amp; Rates'!D14</f>
        <v/>
      </c>
      <c r="D14" s="35" t="n">
        <v>3</v>
      </c>
      <c r="E14" s="35" t="n">
        <v>3</v>
      </c>
      <c r="F14" s="35" t="n">
        <v>4</v>
      </c>
      <c r="G14" s="35" t="n">
        <v>3</v>
      </c>
      <c r="H14" s="35" t="n">
        <v>6</v>
      </c>
      <c r="I14" s="28" t="inlineStr">
        <is>
          <t>Security &amp; Compliance Agent peaks here; others moderate.</t>
        </is>
      </c>
    </row>
    <row r="15">
      <c r="B15" s="25" t="inlineStr">
        <is>
          <t>Customer Success / Beta Ops Lead</t>
        </is>
      </c>
      <c r="C15" s="43">
        <f>'2. Roles &amp; Rates'!D15</f>
        <v/>
      </c>
      <c r="D15" s="35" t="n">
        <v>4</v>
      </c>
      <c r="E15" s="35" t="n">
        <v>3</v>
      </c>
      <c r="F15" s="35" t="n">
        <v>3</v>
      </c>
      <c r="G15" s="35" t="n">
        <v>3</v>
      </c>
      <c r="H15" s="35" t="n">
        <v>3</v>
      </c>
      <c r="I15" s="28" t="inlineStr">
        <is>
          <t>Pilot user onboarding + 30-day hypercare per project.</t>
        </is>
      </c>
    </row>
    <row r="16">
      <c r="B16" s="25" t="inlineStr">
        <is>
          <t>ERP / Systems Integration Architect</t>
        </is>
      </c>
      <c r="C16" s="43">
        <f>'2. Roles &amp; Rates'!D16</f>
        <v/>
      </c>
      <c r="D16" s="35" t="n">
        <v>4</v>
      </c>
      <c r="E16" s="35" t="n">
        <v>4</v>
      </c>
      <c r="F16" s="35" t="n">
        <v>4</v>
      </c>
      <c r="G16" s="35" t="n">
        <v>4</v>
      </c>
      <c r="H16" s="35" t="n">
        <v>3</v>
      </c>
      <c r="I16" s="28" t="inlineStr">
        <is>
          <t>Deep integration to customer ERP — CCaaS needs ticketing system bridge.</t>
        </is>
      </c>
    </row>
    <row r="17">
      <c r="B17" s="25" t="inlineStr">
        <is>
          <t>Regulatory &amp; Compliance SME</t>
        </is>
      </c>
      <c r="C17" s="43">
        <f>'2. Roles &amp; Rates'!D17</f>
        <v/>
      </c>
      <c r="D17" s="35" t="n">
        <v>3</v>
      </c>
      <c r="E17" s="35" t="n">
        <v>3</v>
      </c>
      <c r="F17" s="35" t="n">
        <v>4</v>
      </c>
      <c r="G17" s="35" t="n">
        <v>2</v>
      </c>
      <c r="H17" s="35" t="n">
        <v>5</v>
      </c>
      <c r="I17" s="28" t="inlineStr">
        <is>
          <t>Compliance Agent needs heaviest SME involvement — full regulatory mapping.</t>
        </is>
      </c>
    </row>
    <row r="18">
      <c r="B18" s="25" t="inlineStr">
        <is>
          <t>Industry SME (per vertical)</t>
        </is>
      </c>
      <c r="C18" s="43">
        <f>'2. Roles &amp; Rates'!D18</f>
        <v/>
      </c>
      <c r="D18" s="35" t="n">
        <v>3</v>
      </c>
      <c r="E18" s="35" t="n">
        <v>3</v>
      </c>
      <c r="F18" s="35" t="n">
        <v>3</v>
      </c>
      <c r="G18" s="35" t="n">
        <v>4</v>
      </c>
      <c r="H18" s="35" t="n">
        <v>2</v>
      </c>
      <c r="I18" s="28" t="inlineStr">
        <is>
          <t>Healthcare / Banking / Energy / Government / Manufacturing domain expert.</t>
        </is>
      </c>
    </row>
    <row r="19">
      <c r="B19" s="25" t="inlineStr">
        <is>
          <t>ML / Fine-Tuning Engineer</t>
        </is>
      </c>
      <c r="C19" s="43">
        <f>'2. Roles &amp; Rates'!D19</f>
        <v/>
      </c>
      <c r="D19" s="35" t="n">
        <v>3</v>
      </c>
      <c r="E19" s="35" t="n">
        <v>4</v>
      </c>
      <c r="F19" s="35" t="n">
        <v>2</v>
      </c>
      <c r="G19" s="35" t="n">
        <v>3</v>
      </c>
      <c r="H19" s="35" t="n">
        <v>2</v>
      </c>
      <c r="I19" s="28" t="inlineStr">
        <is>
          <t>Doc Intel: invoice/medical record fine-tune. CCaaS: industry-specific intent.</t>
        </is>
      </c>
    </row>
    <row r="20">
      <c r="B20" s="25" t="inlineStr">
        <is>
          <t>Hardware / On-Prem Infra Engineer (Tier 3)</t>
        </is>
      </c>
      <c r="C20" s="43">
        <f>'2. Roles &amp; Rates'!D20</f>
        <v/>
      </c>
      <c r="D20" s="35" t="n">
        <v>0</v>
      </c>
      <c r="E20" s="35" t="n">
        <v>0</v>
      </c>
      <c r="F20" s="35" t="n">
        <v>0</v>
      </c>
      <c r="G20" s="35" t="n">
        <v>0</v>
      </c>
      <c r="H20" s="35" t="n">
        <v>0</v>
      </c>
      <c r="I20" s="28" t="inlineStr">
        <is>
          <t>—</t>
        </is>
      </c>
    </row>
    <row r="21">
      <c r="B21" s="38" t="inlineStr">
        <is>
          <t>Total person-weeks per project</t>
        </is>
      </c>
      <c r="D21" s="36">
        <f>SUM(D6:D20)</f>
        <v/>
      </c>
      <c r="E21" s="36">
        <f>SUM(E6:E20)</f>
        <v/>
      </c>
      <c r="F21" s="36">
        <f>SUM(F6:F20)</f>
        <v/>
      </c>
      <c r="G21" s="36">
        <f>SUM(G6:G20)</f>
        <v/>
      </c>
      <c r="H21" s="36">
        <f>SUM(H6:H20)</f>
        <v/>
      </c>
    </row>
    <row r="23">
      <c r="B23" s="23" t="inlineStr">
        <is>
          <t>Cost per project (USD)</t>
        </is>
      </c>
    </row>
    <row r="24">
      <c r="B24" s="24" t="inlineStr">
        <is>
          <t>Item</t>
        </is>
      </c>
      <c r="C24" s="24" t="inlineStr">
        <is>
          <t>AI Contact Centre Software (Enterprise)</t>
        </is>
      </c>
      <c r="D24" s="24" t="inlineStr">
        <is>
          <t>Document Intelligence Suite</t>
        </is>
      </c>
      <c r="E24" s="24" t="inlineStr">
        <is>
          <t>Approval Orchestration Platform</t>
        </is>
      </c>
      <c r="F24" s="24" t="inlineStr">
        <is>
          <t>Predictive Maintenance Agent</t>
        </is>
      </c>
      <c r="G24" s="24" t="inlineStr">
        <is>
          <t>Security &amp; Compliance Agent</t>
        </is>
      </c>
      <c r="H24" s="24" t="inlineStr">
        <is>
          <t>Avg per project</t>
        </is>
      </c>
    </row>
    <row r="25">
      <c r="B25" s="25" t="inlineStr">
        <is>
          <t>Personnel cost</t>
        </is>
      </c>
      <c r="D25" s="42">
        <f>(D6*$C6+D7*$C7+D8*$C8+D9*$C9+D10*$C10+D11*$C11+D12*$C12+D13*$C13+D14*$C14+D15*$C15+D16*$C16+D17*$C17+D18*$C18+D19*$C19+D20*$C20)*'1. Cover &amp; Assumptions'!$C$24</f>
        <v/>
      </c>
      <c r="E25" s="42">
        <f>(E6*$C6+E7*$C7+E8*$C8+E9*$C9+E10*$C10+E11*$C11+E12*$C12+E13*$C13+E14*$C14+E15*$C15+E16*$C16+E17*$C17+E18*$C18+E19*$C19+E20*$C20)*'1. Cover &amp; Assumptions'!$C$24</f>
        <v/>
      </c>
      <c r="F25" s="42">
        <f>(F6*$C6+F7*$C7+F8*$C8+F9*$C9+F10*$C10+F11*$C11+F12*$C12+F13*$C13+F14*$C14+F15*$C15+F16*$C16+F17*$C17+F18*$C18+F19*$C19+F20*$C20)*'1. Cover &amp; Assumptions'!$C$24</f>
        <v/>
      </c>
      <c r="G25" s="42">
        <f>(G6*$C6+G7*$C7+G8*$C8+G9*$C9+G10*$C10+G11*$C11+G12*$C12+G13*$C13+G14*$C14+G15*$C15+G16*$C16+G17*$C17+G18*$C18+G19*$C19+G20*$C20)*'1. Cover &amp; Assumptions'!$C$24</f>
        <v/>
      </c>
      <c r="H25" s="42">
        <f>(H6*$C6+H7*$C7+H8*$C8+H9*$C9+H10*$C10+H11*$C11+H12*$C12+H13*$C13+H14*$C14+H15*$C15+H16*$C16+H17*$C17+H18*$C18+H19*$C19+H20*$C20)*'1. Cover &amp; Assumptions'!$C$24</f>
        <v/>
      </c>
      <c r="I25" s="42">
        <f>AVERAGE(D25:H25)</f>
        <v/>
      </c>
    </row>
    <row r="26">
      <c r="B26" s="25" t="inlineStr">
        <is>
          <t>Other costs (cloud, LLM, voice APIs, sandbox)</t>
        </is>
      </c>
      <c r="D26" s="33" t="n">
        <v>40000</v>
      </c>
      <c r="E26" s="33" t="n">
        <v>25000</v>
      </c>
      <c r="F26" s="33" t="n">
        <v>20000</v>
      </c>
      <c r="G26" s="33" t="n">
        <v>25000</v>
      </c>
      <c r="H26" s="33" t="n">
        <v>20000</v>
      </c>
      <c r="I26" s="42">
        <f>AVERAGE(D26:H26)</f>
        <v/>
      </c>
    </row>
    <row r="27">
      <c r="B27" s="38" t="inlineStr">
        <is>
          <t>Total cost per project (Tier 2)</t>
        </is>
      </c>
      <c r="D27" s="42">
        <f>D25+D26</f>
        <v/>
      </c>
      <c r="E27" s="42">
        <f>E25+E26</f>
        <v/>
      </c>
      <c r="F27" s="42">
        <f>F25+F26</f>
        <v/>
      </c>
      <c r="G27" s="42">
        <f>G25+G26</f>
        <v/>
      </c>
      <c r="H27" s="42">
        <f>H25+H26</f>
        <v/>
      </c>
      <c r="I27" s="40">
        <f>AVERAGE(D27:H27)</f>
        <v/>
      </c>
    </row>
    <row r="30">
      <c r="B30" s="23" t="inlineStr">
        <is>
          <t>Solution descriptions</t>
        </is>
      </c>
    </row>
    <row r="31">
      <c r="B31" s="25" t="inlineStr">
        <is>
          <t>AI Contact Centre Software (Enterprise)</t>
        </is>
      </c>
      <c r="C31" s="28" t="inlineStr">
        <is>
          <t>Full CCaaS — voice + WhatsApp + web + agent assist + supervisor + analytics.</t>
        </is>
      </c>
    </row>
    <row r="32">
      <c r="B32" s="25" t="inlineStr">
        <is>
          <t>Document Intelligence Suite</t>
        </is>
      </c>
      <c r="C32" s="28" t="inlineStr">
        <is>
          <t>Inbound docs (forms, contracts, invoices, medical records) classified, extracted, routed.</t>
        </is>
      </c>
    </row>
    <row r="33">
      <c r="B33" s="25" t="inlineStr">
        <is>
          <t>Approval Orchestration Platform</t>
        </is>
      </c>
      <c r="C33" s="28" t="inlineStr">
        <is>
          <t>Multi-step approvals with policy + RAG + human-in-loop (procurement, expenses, credit).</t>
        </is>
      </c>
    </row>
    <row r="34">
      <c r="B34" s="25" t="inlineStr">
        <is>
          <t>Predictive Maintenance Agent</t>
        </is>
      </c>
      <c r="C34" s="28" t="inlineStr">
        <is>
          <t>IoT/SCADA telemetry → anomaly detection + work-order automation + technician dispatch.</t>
        </is>
      </c>
    </row>
    <row r="35">
      <c r="B35" s="25" t="inlineStr">
        <is>
          <t>Security &amp; Compliance Agent</t>
        </is>
      </c>
      <c r="C35" s="28" t="inlineStr">
        <is>
          <t>AI SOC analyst, log triage, compliance evidence, regulator reporting.</t>
        </is>
      </c>
    </row>
  </sheetData>
  <mergeCells count="5">
    <mergeCell ref="C31:I31"/>
    <mergeCell ref="C35:I35"/>
    <mergeCell ref="C34:I34"/>
    <mergeCell ref="C32:I32"/>
    <mergeCell ref="C33:I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4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50" customWidth="1" min="7" max="7"/>
  </cols>
  <sheetData>
    <row r="2">
      <c r="B2" s="19" t="inlineStr">
        <is>
          <t>Tier 3 — Sovereign &amp; On-Prem Deployments</t>
        </is>
      </c>
    </row>
    <row r="3">
      <c r="B3" s="32" t="inlineStr">
        <is>
          <t>IN PLAIN ENGLISH: Customer-site deployments (gov, banks, healthcare regulators). Higher complexity — customer-specific architecture, networking, security, audit. Pre-prepared HPC RA BoMs (Sheet 10) let us spin up vendor-agnostic BoMs in days. Help AG security wrap included.</t>
        </is>
      </c>
    </row>
    <row r="5">
      <c r="B5" s="23" t="inlineStr">
        <is>
          <t>Cost stack — typical Tier 3 sovereign / on-prem deployment</t>
        </is>
      </c>
    </row>
    <row r="6">
      <c r="B6" s="24" t="inlineStr">
        <is>
          <t>Cost component</t>
        </is>
      </c>
      <c r="C6" s="24" t="inlineStr">
        <is>
          <t>Value (USD)</t>
        </is>
      </c>
      <c r="D6" s="24" t="inlineStr">
        <is>
          <t>Notes</t>
        </is>
      </c>
    </row>
    <row r="7">
      <c r="B7" s="25" t="inlineStr">
        <is>
          <t>Base custom AI solution build (avg Tier 2 personnel)</t>
        </is>
      </c>
      <c r="C7" s="43">
        <f>'5. Tier 2 - Custom AI'!I27</f>
        <v/>
      </c>
      <c r="D7" s="28" t="inlineStr">
        <is>
          <t>References Tier 2 average personnel cost (Doc Intel / Approvals / Pred Maint median build).</t>
        </is>
      </c>
    </row>
    <row r="8">
      <c r="B8" s="25" t="inlineStr">
        <is>
          <t>On-prem uplift — installation, networking, identity (8 wks Hardware Eng + Sec Lead)</t>
        </is>
      </c>
      <c r="C8" s="43">
        <f>8*'1. Cover &amp; Assumptions'!$C$24*('2. Roles &amp; Rates'!D20+'2. Roles &amp; Rates'!D14)</f>
        <v/>
      </c>
      <c r="D8" s="28" t="inlineStr">
        <is>
          <t>8 weeks × 5 days × (Hardware Eng + Security Lead). Customer-site networking, AD/SSO integration, hardening.</t>
        </is>
      </c>
    </row>
    <row r="9">
      <c r="B9" s="25" t="inlineStr">
        <is>
          <t>Customer-specific architecture &amp; SDD addendum (3 wks Sol Arch + ERP Arch)</t>
        </is>
      </c>
      <c r="C9" s="43">
        <f>3*'1. Cover &amp; Assumptions'!$C$24*('2. Roles &amp; Rates'!D7+'2. Roles &amp; Rates'!D16)</f>
        <v/>
      </c>
      <c r="D9" s="28" t="inlineStr">
        <is>
          <t>3-week architecture deep-dive with customer IT + procurement before build starts.</t>
        </is>
      </c>
    </row>
    <row r="10">
      <c r="B10" s="25" t="inlineStr">
        <is>
          <t>On-prem environment &amp; integration sandbox</t>
        </is>
      </c>
      <c r="C10" s="33" t="n">
        <v>25000</v>
      </c>
      <c r="D10" s="28" t="inlineStr">
        <is>
          <t>Bare-metal lab in AIdeology / e&amp; staging that mirrors customer footprint for testing.</t>
        </is>
      </c>
    </row>
    <row r="11">
      <c r="B11" s="25" t="inlineStr">
        <is>
          <t>Help AG managed security wrap</t>
        </is>
      </c>
      <c r="C11" s="33" t="n">
        <v>75000</v>
      </c>
      <c r="D11" s="28" t="inlineStr">
        <is>
          <t>Third-party security partner — pen-test, SOC integration, NESA evidence. Indicative — verify per project.</t>
        </is>
      </c>
    </row>
    <row r="12">
      <c r="B12" s="25" t="inlineStr">
        <is>
          <t>HPC BoM coordination &amp; vendor liaison (allowance)</t>
        </is>
      </c>
      <c r="C12" s="33" t="n">
        <v>25000</v>
      </c>
      <c r="D12" s="28" t="inlineStr">
        <is>
          <t>AIdeology engineering time to liaise with chosen vendor (Cisco/Dell/HPE/Lenovo/Supermicro) on BoM, lead times, install.</t>
        </is>
      </c>
    </row>
    <row r="13">
      <c r="B13" s="25" t="inlineStr">
        <is>
          <t>Travel &amp; on-site presence (4 trips × 5 people × 5 days)</t>
        </is>
      </c>
      <c r="C13" s="33" t="n">
        <v>60000</v>
      </c>
      <c r="D13" s="28" t="inlineStr">
        <is>
          <t>On-site mobilisation, install, UAT, go-live.</t>
        </is>
      </c>
    </row>
    <row r="14">
      <c r="B14" s="25" t="inlineStr">
        <is>
          <t>Other costs (cloud, LLM, sandbox uplift)</t>
        </is>
      </c>
      <c r="C14" s="33" t="n">
        <v>30000</v>
      </c>
      <c r="D14" s="28" t="inlineStr">
        <is>
          <t>Higher than Tier 2 — air-gapped test env, dual-stack.</t>
        </is>
      </c>
    </row>
    <row r="15">
      <c r="B15" s="38" t="inlineStr">
        <is>
          <t>Direct cost — sum</t>
        </is>
      </c>
      <c r="C15" s="40">
        <f>SUM(C7:C14)</f>
        <v/>
      </c>
    </row>
    <row r="16">
      <c r="B16" s="25" t="inlineStr">
        <is>
          <t>Contingency (15% — high-complexity buffer)</t>
        </is>
      </c>
      <c r="C16" s="43">
        <f>C15*'1. Cover &amp; Assumptions'!$C$37</f>
        <v/>
      </c>
    </row>
    <row r="17">
      <c r="B17" s="38" t="inlineStr">
        <is>
          <t>Total fully-loaded cost — typical Tier 3 project</t>
        </is>
      </c>
      <c r="C17" s="44">
        <f>C15+C16</f>
        <v/>
      </c>
    </row>
    <row r="20">
      <c r="B20" s="23" t="inlineStr">
        <is>
          <t>↑ Important — Hardware BoM is NOT in our cost above</t>
        </is>
      </c>
    </row>
    <row r="21">
      <c r="B21" s="22" t="inlineStr">
        <is>
          <t>The HPC compute infrastructure (GPU cluster, networking, storage) is sold as a pass-through line via the chosen OEM (Cisco / Dell / HPE / Lenovo / Supermicro).</t>
        </is>
      </c>
    </row>
    <row r="22">
      <c r="B22" s="22" t="inlineStr">
        <is>
          <t>AIdeology coordinates the BoM (allowance included above), sizes the cluster against customer workload, but does not carry hardware revenue. e&amp; or the OEM owns that line.</t>
        </is>
      </c>
    </row>
    <row r="23">
      <c r="B23" s="22" t="inlineStr">
        <is>
          <t>See Sheet 10 — HPC RA Library — for ten reference architectures from five vendors with sizing guidance (4-128 nodes, RTX PRO / HGX / B300 / NVL72).</t>
        </is>
      </c>
    </row>
    <row r="24">
      <c r="B24" s="22" t="inlineStr">
        <is>
          <t>Optional: AIdeology can bundle the BoM into the price (with a 5-10% margin) — discuss per deal. Default model: hardware sold separately by OEM.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50" customWidth="1" min="7" max="7"/>
  </cols>
  <sheetData>
    <row r="2">
      <c r="B2" s="19" t="inlineStr">
        <is>
          <t>Custom Bespoke Solutions  (AIdeology unique builds)</t>
        </is>
      </c>
    </row>
    <row r="3">
      <c r="B3" s="32" t="inlineStr">
        <is>
          <t>IN PLAIN ENGLISH: When an enterprise needs something that doesn't fit Tier 1/2/3 — a unique vertical AI, a moonshot R&amp;D project, or new platform IP. Priced T&amp;M or fixed-bid, premium margin (50%) because of unique IP and execution risk.</t>
        </is>
      </c>
    </row>
    <row r="5">
      <c r="B5" s="23" t="inlineStr">
        <is>
          <t>Reference bespoke project sizing (~22 weeks, 8-person team)</t>
        </is>
      </c>
    </row>
    <row r="6">
      <c r="B6" s="24" t="inlineStr">
        <is>
          <t>Role</t>
        </is>
      </c>
      <c r="C6" s="24" t="inlineStr">
        <is>
          <t>Cost / day</t>
        </is>
      </c>
      <c r="D6" s="24" t="inlineStr">
        <is>
          <t>p-weeks</t>
        </is>
      </c>
      <c r="E6" s="24" t="inlineStr">
        <is>
          <t>Personnel cost</t>
        </is>
      </c>
      <c r="F6" s="24" t="inlineStr">
        <is>
          <t>Notes</t>
        </is>
      </c>
    </row>
    <row r="7">
      <c r="B7" s="25" t="inlineStr">
        <is>
          <t>Engagement / Programme Manager</t>
        </is>
      </c>
      <c r="C7" s="43">
        <f>'2. Roles &amp; Rates'!D6</f>
        <v/>
      </c>
      <c r="D7" s="35" t="n">
        <v>5</v>
      </c>
      <c r="E7" s="43">
        <f>C7*D7*'1. Cover &amp; Assumptions'!$C$24</f>
        <v/>
      </c>
      <c r="G7" s="28" t="inlineStr">
        <is>
          <t>PM</t>
        </is>
      </c>
    </row>
    <row r="8">
      <c r="B8" s="25" t="inlineStr">
        <is>
          <t>Solution Architect (Lead)</t>
        </is>
      </c>
      <c r="C8" s="43">
        <f>'2. Roles &amp; Rates'!D7</f>
        <v/>
      </c>
      <c r="D8" s="35" t="n">
        <v>6</v>
      </c>
      <c r="E8" s="43">
        <f>C8*D8*'1. Cover &amp; Assumptions'!$C$24</f>
        <v/>
      </c>
      <c r="G8" s="28" t="inlineStr">
        <is>
          <t>Sol Arch</t>
        </is>
      </c>
    </row>
    <row r="9">
      <c r="B9" s="25" t="inlineStr">
        <is>
          <t>AI / LLM Engineer — Orchestration &amp; Reasoning</t>
        </is>
      </c>
      <c r="C9" s="43">
        <f>'2. Roles &amp; Rates'!D8</f>
        <v/>
      </c>
      <c r="D9" s="35" t="n">
        <v>15</v>
      </c>
      <c r="E9" s="43">
        <f>C9*D9*'1. Cover &amp; Assumptions'!$C$24</f>
        <v/>
      </c>
      <c r="G9" s="28" t="inlineStr">
        <is>
          <t>AI/LLM Eng (heavy R&amp;D)</t>
        </is>
      </c>
    </row>
    <row r="10">
      <c r="B10" s="25" t="inlineStr">
        <is>
          <t>Voice / Conversational Engineer</t>
        </is>
      </c>
      <c r="C10" s="43">
        <f>'2. Roles &amp; Rates'!D9</f>
        <v/>
      </c>
      <c r="D10" s="35" t="n">
        <v>3</v>
      </c>
      <c r="E10" s="43">
        <f>C10*D10*'1. Cover &amp; Assumptions'!$C$24</f>
        <v/>
      </c>
      <c r="G10" s="28" t="inlineStr">
        <is>
          <t>Voice (if needed)</t>
        </is>
      </c>
    </row>
    <row r="11">
      <c r="B11" s="25" t="inlineStr">
        <is>
          <t>Data &amp; Integration Engineer</t>
        </is>
      </c>
      <c r="C11" s="43">
        <f>'2. Roles &amp; Rates'!D10</f>
        <v/>
      </c>
      <c r="D11" s="35" t="n">
        <v>10</v>
      </c>
      <c r="E11" s="43">
        <f>C11*D11*'1. Cover &amp; Assumptions'!$C$24</f>
        <v/>
      </c>
      <c r="G11" s="28" t="inlineStr">
        <is>
          <t>Data/Integration</t>
        </is>
      </c>
    </row>
    <row r="12">
      <c r="B12" s="25" t="inlineStr">
        <is>
          <t>Frontend / UX Engineer</t>
        </is>
      </c>
      <c r="C12" s="43">
        <f>'2. Roles &amp; Rates'!D11</f>
        <v/>
      </c>
      <c r="D12" s="35" t="n">
        <v>8</v>
      </c>
      <c r="E12" s="43">
        <f>C12*D12*'1. Cover &amp; Assumptions'!$C$24</f>
        <v/>
      </c>
      <c r="G12" s="28" t="inlineStr">
        <is>
          <t>Frontend</t>
        </is>
      </c>
    </row>
    <row r="13">
      <c r="B13" s="25" t="inlineStr">
        <is>
          <t>DevOps / Platform Engineer</t>
        </is>
      </c>
      <c r="C13" s="43">
        <f>'2. Roles &amp; Rates'!D12</f>
        <v/>
      </c>
      <c r="D13" s="35" t="n">
        <v>4</v>
      </c>
      <c r="E13" s="43">
        <f>C13*D13*'1. Cover &amp; Assumptions'!$C$24</f>
        <v/>
      </c>
      <c r="G13" s="28" t="inlineStr">
        <is>
          <t>DevOps</t>
        </is>
      </c>
    </row>
    <row r="14">
      <c r="B14" s="25" t="inlineStr">
        <is>
          <t>QA Engineer</t>
        </is>
      </c>
      <c r="C14" s="43">
        <f>'2. Roles &amp; Rates'!D13</f>
        <v/>
      </c>
      <c r="D14" s="35" t="n">
        <v>6</v>
      </c>
      <c r="E14" s="43">
        <f>C14*D14*'1. Cover &amp; Assumptions'!$C$24</f>
        <v/>
      </c>
      <c r="G14" s="28" t="inlineStr">
        <is>
          <t>QA</t>
        </is>
      </c>
    </row>
    <row r="15">
      <c r="B15" s="25" t="inlineStr">
        <is>
          <t>Security / Compliance Lead</t>
        </is>
      </c>
      <c r="C15" s="43">
        <f>'2. Roles &amp; Rates'!D14</f>
        <v/>
      </c>
      <c r="D15" s="35" t="n">
        <v>4</v>
      </c>
      <c r="E15" s="43">
        <f>C15*D15*'1. Cover &amp; Assumptions'!$C$24</f>
        <v/>
      </c>
      <c r="G15" s="28" t="inlineStr">
        <is>
          <t>Security/Compliance</t>
        </is>
      </c>
    </row>
    <row r="16">
      <c r="B16" s="25" t="inlineStr">
        <is>
          <t>Customer Success / Beta Ops Lead</t>
        </is>
      </c>
      <c r="C16" s="43">
        <f>'2. Roles &amp; Rates'!D15</f>
        <v/>
      </c>
      <c r="D16" s="35" t="n">
        <v>3</v>
      </c>
      <c r="E16" s="43">
        <f>C16*D16*'1. Cover &amp; Assumptions'!$C$24</f>
        <v/>
      </c>
      <c r="G16" s="28" t="inlineStr">
        <is>
          <t>CS / Beta Ops</t>
        </is>
      </c>
    </row>
    <row r="17">
      <c r="B17" s="25" t="inlineStr">
        <is>
          <t>ERP / Systems Integration Architect</t>
        </is>
      </c>
      <c r="C17" s="43">
        <f>'2. Roles &amp; Rates'!D16</f>
        <v/>
      </c>
      <c r="D17" s="35" t="n">
        <v>3</v>
      </c>
      <c r="E17" s="43">
        <f>C17*D17*'1. Cover &amp; Assumptions'!$C$24</f>
        <v/>
      </c>
      <c r="G17" s="28" t="inlineStr">
        <is>
          <t>ERP Architect (if needed)</t>
        </is>
      </c>
    </row>
    <row r="18">
      <c r="B18" s="25" t="inlineStr">
        <is>
          <t>Regulatory &amp; Compliance SME</t>
        </is>
      </c>
      <c r="C18" s="43">
        <f>'2. Roles &amp; Rates'!D17</f>
        <v/>
      </c>
      <c r="D18" s="35" t="n">
        <v>3</v>
      </c>
      <c r="E18" s="43">
        <f>C18*D18*'1. Cover &amp; Assumptions'!$C$24</f>
        <v/>
      </c>
      <c r="G18" s="28" t="inlineStr">
        <is>
          <t>Compliance SME</t>
        </is>
      </c>
    </row>
    <row r="19">
      <c r="B19" s="25" t="inlineStr">
        <is>
          <t>Industry SME (per vertical)</t>
        </is>
      </c>
      <c r="C19" s="43">
        <f>'2. Roles &amp; Rates'!D18</f>
        <v/>
      </c>
      <c r="D19" s="35" t="n">
        <v>4</v>
      </c>
      <c r="E19" s="43">
        <f>C19*D19*'1. Cover &amp; Assumptions'!$C$24</f>
        <v/>
      </c>
      <c r="G19" s="28" t="inlineStr">
        <is>
          <t>Industry SME</t>
        </is>
      </c>
    </row>
    <row r="20">
      <c r="B20" s="25" t="inlineStr">
        <is>
          <t>ML / Fine-Tuning Engineer</t>
        </is>
      </c>
      <c r="C20" s="43">
        <f>'2. Roles &amp; Rates'!D19</f>
        <v/>
      </c>
      <c r="D20" s="35" t="n">
        <v>8</v>
      </c>
      <c r="E20" s="43">
        <f>C20*D20*'1. Cover &amp; Assumptions'!$C$24</f>
        <v/>
      </c>
      <c r="G20" s="28" t="inlineStr">
        <is>
          <t>Fine-Tuning Eng (heavy)</t>
        </is>
      </c>
    </row>
    <row r="21">
      <c r="B21" s="25" t="inlineStr">
        <is>
          <t>Hardware / On-Prem Infra Engineer (Tier 3)</t>
        </is>
      </c>
      <c r="C21" s="43">
        <f>'2. Roles &amp; Rates'!D20</f>
        <v/>
      </c>
      <c r="D21" s="35" t="n">
        <v>0</v>
      </c>
      <c r="E21" s="43">
        <f>C21*D21*'1. Cover &amp; Assumptions'!$C$24</f>
        <v/>
      </c>
      <c r="G21" s="28" t="inlineStr">
        <is>
          <t>Hardware (only if on-prem)</t>
        </is>
      </c>
    </row>
    <row r="22">
      <c r="B22" s="38" t="inlineStr">
        <is>
          <t>Total — bespoke build personnel</t>
        </is>
      </c>
      <c r="D22" s="36">
        <f>SUM(D7:D21)</f>
        <v/>
      </c>
      <c r="E22" s="42">
        <f>SUM(E7:E21)</f>
        <v/>
      </c>
    </row>
    <row r="23">
      <c r="B23" s="25" t="inlineStr">
        <is>
          <t>Other costs (cloud, LLM, R&amp;D compute, fine-tune, sandbox)</t>
        </is>
      </c>
      <c r="E23" s="33" t="n">
        <v>45000</v>
      </c>
    </row>
    <row r="24">
      <c r="B24" s="38" t="inlineStr">
        <is>
          <t>Direct cost — sum</t>
        </is>
      </c>
      <c r="E24" s="42">
        <f>E22+E23</f>
        <v/>
      </c>
    </row>
    <row r="25">
      <c r="B25" s="25" t="inlineStr">
        <is>
          <t>Contingency (15% — bespoke risk)</t>
        </is>
      </c>
      <c r="E25" s="43">
        <f>E24*0.15</f>
        <v/>
      </c>
    </row>
    <row r="26">
      <c r="B26" s="38" t="inlineStr">
        <is>
          <t>Total fully-loaded bespoke cost</t>
        </is>
      </c>
      <c r="C26" s="40">
        <f>E24+E25</f>
        <v/>
      </c>
      <c r="D26" s="45" t="inlineStr">
        <is>
          <t>@ 50% margin →</t>
        </is>
      </c>
      <c r="E26" s="44">
        <f>C26/(1-'1. Cover &amp; Assumptions'!$C$33)</f>
        <v/>
      </c>
    </row>
    <row r="29">
      <c r="B29" s="23" t="inlineStr">
        <is>
          <t>Alternative — T&amp;M model</t>
        </is>
      </c>
    </row>
    <row r="30">
      <c r="B30" s="25" t="inlineStr">
        <is>
          <t>Blended bill rate (USD/day)</t>
        </is>
      </c>
      <c r="E30" s="33" t="n">
        <v>1500</v>
      </c>
      <c r="G30" s="22" t="inlineStr">
        <is>
          <t>Blended bill rate across the 15-person team. Editable.</t>
        </is>
      </c>
    </row>
    <row r="31">
      <c r="B31" s="25" t="inlineStr">
        <is>
          <t>Estimated T&amp;M billing for reference build</t>
        </is>
      </c>
      <c r="E31" s="43">
        <f>D22*'1. Cover &amp; Assumptions'!$C$24*E30</f>
        <v/>
      </c>
      <c r="G31" s="22" t="inlineStr">
        <is>
          <t>Total p-weeks × 5 days × blended bill rate. Compare to fixed-bid above.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  <col width="60" customWidth="1" min="6" max="6"/>
  </cols>
  <sheetData>
    <row r="2">
      <c r="B2" s="19" t="inlineStr">
        <is>
          <t>Pricing Summary — Cost → Margin → Price to e&amp;</t>
        </is>
      </c>
    </row>
    <row r="3">
      <c r="B3" s="32" t="inlineStr">
        <is>
          <t>IN PLAIN ENGLISH: Each tier's internal cost grossed up to a price using the target margin from Sheet 1. Price to e&amp; = cost / (1 - margin).</t>
        </is>
      </c>
    </row>
    <row r="5">
      <c r="B5" s="46" t="inlineStr">
        <is>
          <t>Component</t>
        </is>
      </c>
      <c r="C5" s="46" t="inlineStr">
        <is>
          <t>Total cost</t>
        </is>
      </c>
      <c r="D5" s="46" t="inlineStr">
        <is>
          <t>Margin (USD)</t>
        </is>
      </c>
      <c r="E5" s="46" t="inlineStr">
        <is>
          <t>Price to e&amp;</t>
        </is>
      </c>
      <c r="F5" s="46" t="inlineStr">
        <is>
          <t>Notes</t>
        </is>
      </c>
    </row>
    <row r="8">
      <c r="B8" s="23" t="inlineStr">
        <is>
          <t>A.  Wave E0 — Enterprise Platform Extensions</t>
        </is>
      </c>
    </row>
    <row r="9">
      <c r="B9" s="25" t="inlineStr">
        <is>
          <t>Wave E0 — one-off platform build</t>
        </is>
      </c>
      <c r="C9" s="43">
        <f>'3. Wave E0 - Platform'!H29</f>
        <v/>
      </c>
      <c r="D9" s="43">
        <f>C9/(1-'1. Cover &amp; Assumptions'!$C$29)-C9</f>
        <v/>
      </c>
      <c r="E9" s="40">
        <f>C9+D9</f>
        <v/>
      </c>
      <c r="F9" s="41" t="inlineStr">
        <is>
          <t>One-off charged to first 1-2 enterprise deals or amortised across the first 4-5 deals (commercial choice).</t>
        </is>
      </c>
    </row>
    <row r="12">
      <c r="B12" s="23" t="inlineStr">
        <is>
          <t>B.  Tier 1 — Adapted SMB Agents (per agent)</t>
        </is>
      </c>
    </row>
    <row r="13">
      <c r="B13" s="24" t="inlineStr">
        <is>
          <t>Agent (Tier 1)</t>
        </is>
      </c>
      <c r="C13" s="24" t="inlineStr">
        <is>
          <t>Cost</t>
        </is>
      </c>
      <c r="D13" s="24" t="inlineStr">
        <is>
          <t>Margin</t>
        </is>
      </c>
      <c r="E13" s="24" t="inlineStr">
        <is>
          <t>Price to e&amp;</t>
        </is>
      </c>
      <c r="F13" s="24" t="inlineStr">
        <is>
          <t>Notes</t>
        </is>
      </c>
    </row>
    <row r="14">
      <c r="B14" s="25" t="inlineStr">
        <is>
          <t>Customer Agent</t>
        </is>
      </c>
      <c r="C14" s="43">
        <f>'4. Tier 1 - Adapted Agents'!D27</f>
        <v/>
      </c>
      <c r="D14" s="43">
        <f>C14/(1-'1. Cover &amp; Assumptions'!$C$30)-C14</f>
        <v/>
      </c>
      <c r="E14" s="42">
        <f>C14+D14</f>
        <v/>
      </c>
      <c r="F14" s="41" t="inlineStr">
        <is>
          <t>Tier 1 enterprise edition of the SMB Customer Agent.</t>
        </is>
      </c>
    </row>
    <row r="15">
      <c r="B15" s="25" t="inlineStr">
        <is>
          <t>Sales Agent</t>
        </is>
      </c>
      <c r="C15" s="43">
        <f>'4. Tier 1 - Adapted Agents'!E27</f>
        <v/>
      </c>
      <c r="D15" s="43">
        <f>C15/(1-'1. Cover &amp; Assumptions'!$C$30)-C15</f>
        <v/>
      </c>
      <c r="E15" s="42">
        <f>C15+D15</f>
        <v/>
      </c>
      <c r="F15" s="41" t="inlineStr">
        <is>
          <t>Tier 1 enterprise edition of the SMB Sales Agent.</t>
        </is>
      </c>
    </row>
    <row r="16">
      <c r="B16" s="25" t="inlineStr">
        <is>
          <t>Comms Hub</t>
        </is>
      </c>
      <c r="C16" s="43">
        <f>'4. Tier 1 - Adapted Agents'!F27</f>
        <v/>
      </c>
      <c r="D16" s="43">
        <f>C16/(1-'1. Cover &amp; Assumptions'!$C$30)-C16</f>
        <v/>
      </c>
      <c r="E16" s="42">
        <f>C16+D16</f>
        <v/>
      </c>
      <c r="F16" s="41" t="inlineStr">
        <is>
          <t>Tier 1 enterprise edition of the SMB Comms Hub.</t>
        </is>
      </c>
    </row>
    <row r="17">
      <c r="B17" s="25" t="inlineStr">
        <is>
          <t>Finance Agent</t>
        </is>
      </c>
      <c r="C17" s="43">
        <f>'4. Tier 1 - Adapted Agents'!G27</f>
        <v/>
      </c>
      <c r="D17" s="43">
        <f>C17/(1-'1. Cover &amp; Assumptions'!$C$30)-C17</f>
        <v/>
      </c>
      <c r="E17" s="42">
        <f>C17+D17</f>
        <v/>
      </c>
      <c r="F17" s="41" t="inlineStr">
        <is>
          <t>Tier 1 enterprise edition of the SMB Finance Agent.</t>
        </is>
      </c>
    </row>
    <row r="18">
      <c r="B18" s="25" t="inlineStr">
        <is>
          <t>Ops Agent</t>
        </is>
      </c>
      <c r="C18" s="43">
        <f>'4. Tier 1 - Adapted Agents'!H27</f>
        <v/>
      </c>
      <c r="D18" s="43">
        <f>C18/(1-'1. Cover &amp; Assumptions'!$C$30)-C18</f>
        <v/>
      </c>
      <c r="E18" s="42">
        <f>C18+D18</f>
        <v/>
      </c>
      <c r="F18" s="41" t="inlineStr">
        <is>
          <t>Tier 1 enterprise edition of the SMB Ops Agent.</t>
        </is>
      </c>
    </row>
    <row r="19">
      <c r="B19" s="25" t="inlineStr">
        <is>
          <t>People Agent</t>
        </is>
      </c>
      <c r="C19" s="43">
        <f>'4. Tier 1 - Adapted Agents'!I27</f>
        <v/>
      </c>
      <c r="D19" s="43">
        <f>C19/(1-'1. Cover &amp; Assumptions'!$C$30)-C19</f>
        <v/>
      </c>
      <c r="E19" s="42">
        <f>C19+D19</f>
        <v/>
      </c>
      <c r="F19" s="41" t="inlineStr">
        <is>
          <t>Tier 1 enterprise edition of the SMB People Agent.</t>
        </is>
      </c>
    </row>
    <row r="20">
      <c r="B20" s="38" t="inlineStr">
        <is>
          <t>↑ Tier 1 average per agent</t>
        </is>
      </c>
      <c r="C20" s="42">
        <f>AVERAGE(C14:C19)</f>
        <v/>
      </c>
      <c r="D20" s="42">
        <f>AVERAGE(D14:D19)</f>
        <v/>
      </c>
      <c r="E20" s="40">
        <f>AVERAGE(E14:E19)</f>
        <v/>
      </c>
    </row>
    <row r="23">
      <c r="B23" s="23" t="inlineStr">
        <is>
          <t>C.  Tier 2 — Custom AI Solutions (per project)</t>
        </is>
      </c>
    </row>
    <row r="24">
      <c r="B24" s="24" t="inlineStr">
        <is>
          <t>Solution (Tier 2)</t>
        </is>
      </c>
      <c r="C24" s="24" t="inlineStr">
        <is>
          <t>Cost</t>
        </is>
      </c>
      <c r="D24" s="24" t="inlineStr">
        <is>
          <t>Margin</t>
        </is>
      </c>
      <c r="E24" s="24" t="inlineStr">
        <is>
          <t>Price to e&amp;</t>
        </is>
      </c>
      <c r="F24" s="24" t="inlineStr">
        <is>
          <t>Notes</t>
        </is>
      </c>
    </row>
    <row r="25">
      <c r="B25" s="25" t="inlineStr">
        <is>
          <t>AI Contact Centre Software</t>
        </is>
      </c>
      <c r="C25" s="43">
        <f>'5. Tier 2 - Custom AI'!D27</f>
        <v/>
      </c>
      <c r="D25" s="43">
        <f>C25/(1-'1. Cover &amp; Assumptions'!$C$31)-C25</f>
        <v/>
      </c>
      <c r="E25" s="42">
        <f>C25+D25</f>
        <v/>
      </c>
      <c r="F25" s="41" t="inlineStr">
        <is>
          <t>Tier 2 — fits in JSX framework $300K-$600K range.</t>
        </is>
      </c>
    </row>
    <row r="26">
      <c r="B26" s="25" t="inlineStr">
        <is>
          <t>Document Intelligence</t>
        </is>
      </c>
      <c r="C26" s="43">
        <f>'5. Tier 2 - Custom AI'!E27</f>
        <v/>
      </c>
      <c r="D26" s="43">
        <f>C26/(1-'1. Cover &amp; Assumptions'!$C$31)-C26</f>
        <v/>
      </c>
      <c r="E26" s="42">
        <f>C26+D26</f>
        <v/>
      </c>
      <c r="F26" s="41" t="inlineStr">
        <is>
          <t>Tier 2 — fits in JSX framework $300K-$600K range.</t>
        </is>
      </c>
    </row>
    <row r="27">
      <c r="B27" s="25" t="inlineStr">
        <is>
          <t>Approval Orchestration</t>
        </is>
      </c>
      <c r="C27" s="43">
        <f>'5. Tier 2 - Custom AI'!F27</f>
        <v/>
      </c>
      <c r="D27" s="43">
        <f>C27/(1-'1. Cover &amp; Assumptions'!$C$31)-C27</f>
        <v/>
      </c>
      <c r="E27" s="42">
        <f>C27+D27</f>
        <v/>
      </c>
      <c r="F27" s="41" t="inlineStr">
        <is>
          <t>Tier 2 — fits in JSX framework $300K-$600K range.</t>
        </is>
      </c>
    </row>
    <row r="28">
      <c r="B28" s="25" t="inlineStr">
        <is>
          <t>Predictive Maintenance</t>
        </is>
      </c>
      <c r="C28" s="43">
        <f>'5. Tier 2 - Custom AI'!G27</f>
        <v/>
      </c>
      <c r="D28" s="43">
        <f>C28/(1-'1. Cover &amp; Assumptions'!$C$31)-C28</f>
        <v/>
      </c>
      <c r="E28" s="42">
        <f>C28+D28</f>
        <v/>
      </c>
      <c r="F28" s="41" t="inlineStr">
        <is>
          <t>Tier 2 — fits in JSX framework $300K-$600K range.</t>
        </is>
      </c>
    </row>
    <row r="29">
      <c r="B29" s="25" t="inlineStr">
        <is>
          <t>Security &amp; Compliance</t>
        </is>
      </c>
      <c r="C29" s="43">
        <f>'5. Tier 2 - Custom AI'!H27</f>
        <v/>
      </c>
      <c r="D29" s="43">
        <f>C29/(1-'1. Cover &amp; Assumptions'!$C$31)-C29</f>
        <v/>
      </c>
      <c r="E29" s="42">
        <f>C29+D29</f>
        <v/>
      </c>
      <c r="F29" s="41" t="inlineStr">
        <is>
          <t>Tier 2 — fits in JSX framework $300K-$600K range.</t>
        </is>
      </c>
    </row>
    <row r="30">
      <c r="B30" s="38" t="inlineStr">
        <is>
          <t>↑ Tier 2 average per project</t>
        </is>
      </c>
      <c r="C30" s="42">
        <f>AVERAGE(C25:C29)</f>
        <v/>
      </c>
      <c r="D30" s="42">
        <f>AVERAGE(D25:D29)</f>
        <v/>
      </c>
      <c r="E30" s="40">
        <f>AVERAGE(E25:E29)</f>
        <v/>
      </c>
    </row>
    <row r="33">
      <c r="B33" s="23" t="inlineStr">
        <is>
          <t>D.  Tier 3 — Sovereign / On-Prem (per project)</t>
        </is>
      </c>
    </row>
    <row r="34">
      <c r="B34" s="24" t="inlineStr">
        <is>
          <t>Component</t>
        </is>
      </c>
      <c r="C34" s="24" t="inlineStr">
        <is>
          <t>Cost</t>
        </is>
      </c>
      <c r="D34" s="24" t="inlineStr">
        <is>
          <t>Margin</t>
        </is>
      </c>
      <c r="E34" s="24" t="inlineStr">
        <is>
          <t>Price to e&amp;</t>
        </is>
      </c>
      <c r="F34" s="24" t="inlineStr">
        <is>
          <t>Notes</t>
        </is>
      </c>
    </row>
    <row r="36">
      <c r="B36" s="25" t="inlineStr">
        <is>
          <t>Tier 3 — typical sovereign / on-prem build</t>
        </is>
      </c>
      <c r="C36" s="43">
        <f>'6. Tier 3 - Sovereign OnPrem'!C17</f>
        <v/>
      </c>
      <c r="D36" s="43">
        <f>C36/(1-'1. Cover &amp; Assumptions'!$C$32)-C36</f>
        <v/>
      </c>
      <c r="E36" s="40">
        <f>C36+D36</f>
        <v/>
      </c>
      <c r="F36" s="41" t="inlineStr">
        <is>
          <t>Tier 3 typically prices in the $600K-$1M JSX band. Hardware BoM sold separately by OEM. See Sheet 6 for the cost stack.</t>
        </is>
      </c>
    </row>
    <row r="39">
      <c r="B39" s="23" t="inlineStr">
        <is>
          <t>E.  Managed Service (per client per month)</t>
        </is>
      </c>
    </row>
    <row r="40">
      <c r="B40" s="24" t="inlineStr">
        <is>
          <t>Component</t>
        </is>
      </c>
      <c r="C40" s="24" t="inlineStr">
        <is>
          <t>Cost / month</t>
        </is>
      </c>
      <c r="D40" s="24" t="inlineStr">
        <is>
          <t>Margin</t>
        </is>
      </c>
      <c r="E40" s="24" t="inlineStr">
        <is>
          <t>Price to e&amp; / month</t>
        </is>
      </c>
      <c r="F40" s="24" t="inlineStr">
        <is>
          <t>Notes</t>
        </is>
      </c>
    </row>
    <row r="41">
      <c r="B41" s="25" t="inlineStr">
        <is>
          <t>Managed service — typical</t>
        </is>
      </c>
      <c r="C41" s="33" t="n">
        <v>5400</v>
      </c>
      <c r="D41" s="43">
        <f>C41/(1-'1. Cover &amp; Assumptions'!$C$34)-C41</f>
        <v/>
      </c>
      <c r="E41" s="40">
        <f>C41+D41</f>
        <v/>
      </c>
      <c r="F41" s="41" t="inlineStr">
        <is>
          <t>Cross-check: assumption ARPU = '1. Cover &amp; Assumptions'!$C$50 ($12K/mo). Editable cost cell.</t>
        </is>
      </c>
    </row>
    <row r="44">
      <c r="B44" s="23" t="inlineStr">
        <is>
          <t>F.  Reality check — internal price vs JSX commercial framework</t>
        </is>
      </c>
    </row>
    <row r="45">
      <c r="B45" s="24" t="inlineStr">
        <is>
          <t>Component</t>
        </is>
      </c>
      <c r="C45" s="24" t="inlineStr">
        <is>
          <t>Internal price</t>
        </is>
      </c>
      <c r="D45" s="24" t="inlineStr">
        <is>
          <t>JSX low</t>
        </is>
      </c>
      <c r="E45" s="24" t="inlineStr">
        <is>
          <t>JSX high</t>
        </is>
      </c>
      <c r="F45" s="24" t="inlineStr">
        <is>
          <t>Notes</t>
        </is>
      </c>
    </row>
    <row r="46">
      <c r="B46" s="25" t="inlineStr">
        <is>
          <t>Tier 1 — average per agent</t>
        </is>
      </c>
      <c r="C46" s="40">
        <f>E20</f>
        <v/>
      </c>
      <c r="D46" s="33" t="n">
        <v>30000</v>
      </c>
      <c r="E46" s="33" t="n">
        <v>80000</v>
      </c>
      <c r="F46" s="28" t="inlineStr">
        <is>
          <t>Internal model is well above JSX top end — JSX assumed near-trivial config; reality requires real ERP integration. Reduce p-weeks if rolling out the same agent to a customer's 2nd/3rd seat (ERP work amortised).</t>
        </is>
      </c>
    </row>
    <row r="47">
      <c r="B47" s="25" t="inlineStr">
        <is>
          <t>Tier 2 — average per project</t>
        </is>
      </c>
      <c r="C47" s="40">
        <f>E30</f>
        <v/>
      </c>
      <c r="D47" s="33" t="n">
        <v>300000</v>
      </c>
      <c r="E47" s="33" t="n">
        <v>600000</v>
      </c>
      <c r="F47" s="28" t="inlineStr">
        <is>
          <t>Mid range fits, but the AI Contact Centre solution lands above the JSX top end. Negotiable — see Sheet 5.</t>
        </is>
      </c>
    </row>
    <row r="48">
      <c r="B48" s="25" t="inlineStr">
        <is>
          <t>Tier 3 — typical per project</t>
        </is>
      </c>
      <c r="C48" s="40">
        <f>E36</f>
        <v/>
      </c>
      <c r="D48" s="33" t="n">
        <v>600000</v>
      </c>
      <c r="E48" s="33" t="n">
        <v>1000000</v>
      </c>
      <c r="F48" s="28" t="inlineStr">
        <is>
          <t>Internal model just above JSX top end. Sovereign deals routinely exceed $1M; ok to set Tier 3 ceiling at $1.2-1.5M for premium gov/bank flagships.</t>
        </is>
      </c>
    </row>
    <row r="49">
      <c r="B49" s="25" t="inlineStr">
        <is>
          <t>Custom bespoke</t>
        </is>
      </c>
      <c r="C49" s="40">
        <f>'7. Custom Bespoke'!E26</f>
        <v/>
      </c>
      <c r="D49" s="33" t="n">
        <v>400000</v>
      </c>
      <c r="E49" s="33" t="n">
        <v>800000</v>
      </c>
      <c r="F49" s="28" t="inlineStr">
        <is>
          <t>JSX did not publish a custom bespoke price band. Use Sheet 7 fixed-bid or T&amp;M model per opportunity.</t>
        </is>
      </c>
    </row>
    <row r="50">
      <c r="B50" s="25" t="inlineStr">
        <is>
          <t>Managed service per client / month</t>
        </is>
      </c>
      <c r="C50" s="40">
        <f>E41</f>
        <v/>
      </c>
      <c r="D50" s="33" t="n">
        <v>5000</v>
      </c>
      <c r="E50" s="33" t="n">
        <v>25000</v>
      </c>
      <c r="F50" s="28" t="inlineStr">
        <is>
          <t>$12K/mo lands in the JSX $5K-$25K band ✓</t>
        </is>
      </c>
    </row>
    <row r="52">
      <c r="B52" s="23" t="inlineStr">
        <is>
          <t>G.  Tier 1 amortised — 2nd / 3rd agent for the same enterprise customer</t>
        </is>
      </c>
    </row>
    <row r="53">
      <c r="B53" s="24" t="inlineStr">
        <is>
          <t>Scenario</t>
        </is>
      </c>
      <c r="C53" s="24" t="inlineStr">
        <is>
          <t>Cost (USD)</t>
        </is>
      </c>
      <c r="D53" s="24" t="inlineStr">
        <is>
          <t>Margin</t>
        </is>
      </c>
      <c r="E53" s="24" t="inlineStr">
        <is>
          <t>Price to e&amp;</t>
        </is>
      </c>
      <c r="F53" s="24" t="inlineStr">
        <is>
          <t>Notes</t>
        </is>
      </c>
    </row>
    <row r="54">
      <c r="B54" s="25" t="inlineStr">
        <is>
          <t>Tier 1 — 1st agent for new customer (full)</t>
        </is>
      </c>
      <c r="C54" s="43">
        <f>C20</f>
        <v/>
      </c>
      <c r="D54" s="43">
        <f>C54/(1-'1. Cover &amp; Assumptions'!$C$30)-C54</f>
        <v/>
      </c>
      <c r="E54" s="40">
        <f>C54+D54</f>
        <v/>
      </c>
      <c r="F54" s="28" t="inlineStr">
        <is>
          <t>Full ERP/SSO/audit work.</t>
        </is>
      </c>
    </row>
    <row r="55">
      <c r="B55" s="25" t="inlineStr">
        <is>
          <t>Tier 1 — 2nd agent for same customer (~60%)</t>
        </is>
      </c>
      <c r="C55" s="43">
        <f>C20*0.60</f>
        <v/>
      </c>
      <c r="D55" s="43">
        <f>C55/(1-'1. Cover &amp; Assumptions'!$C$30)-C55</f>
        <v/>
      </c>
      <c r="E55" s="40">
        <f>C55+D55</f>
        <v/>
      </c>
      <c r="F55" s="28" t="inlineStr">
        <is>
          <t>ERP connector reused; only agent-specific config + UAT.</t>
        </is>
      </c>
    </row>
    <row r="56">
      <c r="B56" s="25" t="inlineStr">
        <is>
          <t>Tier 1 — 3rd+ agent for same customer (~50%)</t>
        </is>
      </c>
      <c r="C56" s="43">
        <f>C20*0.50</f>
        <v/>
      </c>
      <c r="D56" s="43">
        <f>C56/(1-'1. Cover &amp; Assumptions'!$C$30)-C56</f>
        <v/>
      </c>
      <c r="E56" s="40">
        <f>C56+D56</f>
        <v/>
      </c>
      <c r="F56" s="28" t="inlineStr">
        <is>
          <t>Most integration plumbing already in place; mostly prompt tuning + UAT.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31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8" customWidth="1" min="4" max="4"/>
    <col width="18" customWidth="1" min="5" max="5"/>
    <col width="18" customWidth="1" min="6" max="6"/>
    <col width="50" customWidth="1" min="7" max="7"/>
  </cols>
  <sheetData>
    <row r="2">
      <c r="B2" s="19" t="inlineStr">
        <is>
          <t>3-Year Revenue Forecast — Pipeline × Tier Mix → AIdeology vs e&amp;</t>
        </is>
      </c>
    </row>
    <row r="3">
      <c r="B3" s="32" t="inlineStr">
        <is>
          <t>IN PLAIN ENGLISH: Number of deals per year × tier mix × price per tier = gross revenue. Apply 60/40 AIdeology/e&amp; split. Add managed service ramp.</t>
        </is>
      </c>
    </row>
    <row r="5">
      <c r="B5" s="23" t="inlineStr">
        <is>
          <t>A. Deal volumes (mid scenario)</t>
        </is>
      </c>
    </row>
    <row r="6">
      <c r="B6" s="24" t="inlineStr">
        <is>
          <t>Metric</t>
        </is>
      </c>
      <c r="C6" s="24" t="inlineStr">
        <is>
          <t>Year 1</t>
        </is>
      </c>
      <c r="D6" s="24" t="inlineStr">
        <is>
          <t>Year 2</t>
        </is>
      </c>
      <c r="E6" s="24" t="inlineStr">
        <is>
          <t>Year 3</t>
        </is>
      </c>
      <c r="F6" s="24" t="inlineStr">
        <is>
          <t>3-Year Total</t>
        </is>
      </c>
      <c r="G6" s="24" t="inlineStr">
        <is>
          <t>Notes</t>
        </is>
      </c>
    </row>
    <row r="9">
      <c r="B9" s="9" t="inlineStr">
        <is>
          <t># Total deals</t>
        </is>
      </c>
      <c r="C9" s="47">
        <f>'1. Cover &amp; Assumptions'!$C$42</f>
        <v/>
      </c>
      <c r="D9" s="47">
        <f>'1. Cover &amp; Assumptions'!$C$43</f>
        <v/>
      </c>
      <c r="E9" s="47">
        <f>'1. Cover &amp; Assumptions'!$C$44</f>
        <v/>
      </c>
      <c r="F9" s="48">
        <f>SUM(C9:E9)</f>
        <v/>
      </c>
    </row>
    <row r="10">
      <c r="B10" s="9" t="inlineStr">
        <is>
          <t># Tier 1 deals (= Total × Tier1 mix %)</t>
        </is>
      </c>
      <c r="C10" s="49">
        <f>C9*'1. Cover &amp; Assumptions'!$C$45</f>
        <v/>
      </c>
      <c r="D10" s="49">
        <f>D9*'1. Cover &amp; Assumptions'!$C$45</f>
        <v/>
      </c>
      <c r="E10" s="49">
        <f>E9*'1. Cover &amp; Assumptions'!$C$45</f>
        <v/>
      </c>
      <c r="F10" s="50">
        <f>SUM(C10:E10)</f>
        <v/>
      </c>
    </row>
    <row r="11">
      <c r="B11" s="9" t="inlineStr">
        <is>
          <t># Tier 1 agents in pipeline (× avg agents/deal)</t>
        </is>
      </c>
      <c r="C11" s="49">
        <f>C10*'1. Cover &amp; Assumptions'!$C$49</f>
        <v/>
      </c>
      <c r="D11" s="49">
        <f>D10*'1. Cover &amp; Assumptions'!$C$49</f>
        <v/>
      </c>
      <c r="E11" s="49">
        <f>E10*'1. Cover &amp; Assumptions'!$C$49</f>
        <v/>
      </c>
      <c r="F11" s="50">
        <f>SUM(C11:E11)</f>
        <v/>
      </c>
    </row>
    <row r="12">
      <c r="B12" s="9" t="inlineStr">
        <is>
          <t># Tier 2 deals</t>
        </is>
      </c>
      <c r="C12" s="49">
        <f>C9*'1. Cover &amp; Assumptions'!$C$46</f>
        <v/>
      </c>
      <c r="D12" s="49">
        <f>D9*'1. Cover &amp; Assumptions'!$C$46</f>
        <v/>
      </c>
      <c r="E12" s="49">
        <f>E9*'1. Cover &amp; Assumptions'!$C$46</f>
        <v/>
      </c>
      <c r="F12" s="50">
        <f>SUM(C12:E12)</f>
        <v/>
      </c>
    </row>
    <row r="13">
      <c r="B13" s="9" t="inlineStr">
        <is>
          <t># Tier 3 deals</t>
        </is>
      </c>
      <c r="C13" s="49">
        <f>C9*'1. Cover &amp; Assumptions'!$C$47</f>
        <v/>
      </c>
      <c r="D13" s="49">
        <f>D9*'1. Cover &amp; Assumptions'!$C$47</f>
        <v/>
      </c>
      <c r="E13" s="49">
        <f>E9*'1. Cover &amp; Assumptions'!$C$47</f>
        <v/>
      </c>
      <c r="F13" s="50">
        <f>SUM(C13:E13)</f>
        <v/>
      </c>
    </row>
    <row r="14">
      <c r="B14" s="9" t="inlineStr">
        <is>
          <t># Custom bespoke deals</t>
        </is>
      </c>
      <c r="C14" s="49">
        <f>C9*'1. Cover &amp; Assumptions'!$C$48</f>
        <v/>
      </c>
      <c r="D14" s="49">
        <f>D9*'1. Cover &amp; Assumptions'!$C$48</f>
        <v/>
      </c>
      <c r="E14" s="49">
        <f>E9*'1. Cover &amp; Assumptions'!$C$48</f>
        <v/>
      </c>
      <c r="F14" s="50">
        <f>SUM(C14:E14)</f>
        <v/>
      </c>
    </row>
    <row r="17">
      <c r="B17" s="23" t="inlineStr">
        <is>
          <t>B. Gross revenue to e&amp; (price × volume)</t>
        </is>
      </c>
    </row>
    <row r="18">
      <c r="B18" s="24" t="inlineStr">
        <is>
          <t>Stream</t>
        </is>
      </c>
      <c r="C18" s="24" t="inlineStr">
        <is>
          <t>Year 1</t>
        </is>
      </c>
      <c r="D18" s="24" t="inlineStr">
        <is>
          <t>Year 2</t>
        </is>
      </c>
      <c r="E18" s="24" t="inlineStr">
        <is>
          <t>Year 3</t>
        </is>
      </c>
      <c r="F18" s="24" t="inlineStr">
        <is>
          <t>3-Year Total</t>
        </is>
      </c>
      <c r="G18" s="24" t="inlineStr">
        <is>
          <t>Notes</t>
        </is>
      </c>
    </row>
    <row r="19">
      <c r="B19" s="38" t="inlineStr">
        <is>
          <t>Gross project revenue (build fees)</t>
        </is>
      </c>
      <c r="C19" s="42">
        <f>C11*'8. Pricing Summary'!$E$20+C12*'8. Pricing Summary'!$E$30+C13*'8. Pricing Summary'!$E$36+C14*'7. Custom Bespoke'!$E$26</f>
        <v/>
      </c>
      <c r="D19" s="42">
        <f>D11*'8. Pricing Summary'!$E$20+D12*'8. Pricing Summary'!$E$30+D13*'8. Pricing Summary'!$E$36+D14*'7. Custom Bespoke'!$E$26</f>
        <v/>
      </c>
      <c r="E19" s="42">
        <f>E11*'8. Pricing Summary'!$E$20+E12*'8. Pricing Summary'!$E$30+E13*'8. Pricing Summary'!$E$36+E14*'7. Custom Bespoke'!$E$26</f>
        <v/>
      </c>
      <c r="F19" s="40">
        <f>SUM(C19:E19)</f>
        <v/>
      </c>
      <c r="G19" s="22" t="inlineStr">
        <is>
          <t>Tier1 agents × T1 + Tier2 × T2 + Tier3 × T3 + Custom × Custom</t>
        </is>
      </c>
    </row>
    <row r="22">
      <c r="B22" s="23" t="inlineStr">
        <is>
          <t>C. Managed service revenue (recurring)</t>
        </is>
      </c>
    </row>
    <row r="23">
      <c r="B23" s="9" t="inlineStr">
        <is>
          <t>Cumulative managed-service clients</t>
        </is>
      </c>
      <c r="C23" s="49">
        <f>C9*'1. Cover &amp; Assumptions'!$C$51*0.5</f>
        <v/>
      </c>
      <c r="D23" s="49">
        <f>C9*'1. Cover &amp; Assumptions'!$C$51 + D9*'1. Cover &amp; Assumptions'!$C$51*0.5</f>
        <v/>
      </c>
      <c r="E23" s="49">
        <f>(C9+D9)*'1. Cover &amp; Assumptions'!$C$51 + E9*'1. Cover &amp; Assumptions'!$C$51*0.5</f>
        <v/>
      </c>
      <c r="G23" s="22" t="inlineStr">
        <is>
          <t>Avg paying clients during the year (half-year ramp for new ones).</t>
        </is>
      </c>
    </row>
    <row r="24">
      <c r="B24" s="38" t="inlineStr">
        <is>
          <t>Managed service revenue</t>
        </is>
      </c>
      <c r="C24" s="42">
        <f>C23*'1. Cover &amp; Assumptions'!$C$50*12</f>
        <v/>
      </c>
      <c r="D24" s="42">
        <f>D23*'1. Cover &amp; Assumptions'!$C$50*12</f>
        <v/>
      </c>
      <c r="E24" s="42">
        <f>E23*'1. Cover &amp; Assumptions'!$C$50*12</f>
        <v/>
      </c>
      <c r="F24" s="40">
        <f>SUM(C24:E24)</f>
        <v/>
      </c>
      <c r="G24" s="22" t="inlineStr">
        <is>
          <t>Avg clients × ARPU × 12 months (managed service ARPU $12K/mo).</t>
        </is>
      </c>
    </row>
    <row r="27">
      <c r="B27" s="23" t="inlineStr">
        <is>
          <t>D. Total revenue and split</t>
        </is>
      </c>
    </row>
    <row r="28">
      <c r="B28" s="24" t="inlineStr">
        <is>
          <t>Item</t>
        </is>
      </c>
      <c r="C28" s="24" t="inlineStr">
        <is>
          <t>Year 1</t>
        </is>
      </c>
      <c r="D28" s="24" t="inlineStr">
        <is>
          <t>Year 2</t>
        </is>
      </c>
      <c r="E28" s="24" t="inlineStr">
        <is>
          <t>Year 3</t>
        </is>
      </c>
      <c r="F28" s="24" t="inlineStr">
        <is>
          <t>3-Year Total</t>
        </is>
      </c>
      <c r="G28" s="24" t="inlineStr">
        <is>
          <t>Notes</t>
        </is>
      </c>
    </row>
    <row r="29">
      <c r="B29" s="38" t="inlineStr">
        <is>
          <t>Gross combined revenue (project + managed)</t>
        </is>
      </c>
      <c r="C29" s="42">
        <f>C19+C24</f>
        <v/>
      </c>
      <c r="D29" s="42">
        <f>D19+D24</f>
        <v/>
      </c>
      <c r="E29" s="42">
        <f>E19+E24</f>
        <v/>
      </c>
      <c r="F29" s="42">
        <f>SUM(C29:E29)</f>
        <v/>
      </c>
    </row>
    <row r="30">
      <c r="B30" s="51" t="inlineStr">
        <is>
          <t>AIdeology share (60% project + 60% managed)</t>
        </is>
      </c>
      <c r="C30" s="52">
        <f>C29*'1. Cover &amp; Assumptions'!$C$39</f>
        <v/>
      </c>
      <c r="D30" s="52">
        <f>D29*'1. Cover &amp; Assumptions'!$C$39</f>
        <v/>
      </c>
      <c r="E30" s="52">
        <f>E29*'1. Cover &amp; Assumptions'!$C$39</f>
        <v/>
      </c>
      <c r="F30" s="53">
        <f>SUM(C30:E30)</f>
        <v/>
      </c>
    </row>
    <row r="31">
      <c r="B31" s="54" t="inlineStr">
        <is>
          <t>e&amp; share (40% project + 40% managed; hosting separate)</t>
        </is>
      </c>
      <c r="C31" s="55">
        <f>C29*'1. Cover &amp; Assumptions'!$C$40</f>
        <v/>
      </c>
      <c r="D31" s="55">
        <f>D29*'1. Cover &amp; Assumptions'!$C$40</f>
        <v/>
      </c>
      <c r="E31" s="55">
        <f>E29*'1. Cover &amp; Assumptions'!$C$40</f>
        <v/>
      </c>
      <c r="F31" s="55">
        <f>SUM(C31:E31)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3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6" customWidth="1" min="3" max="3"/>
    <col width="28" customWidth="1" min="4" max="4"/>
    <col width="26" customWidth="1" min="5" max="5"/>
    <col width="18" customWidth="1" min="6" max="6"/>
    <col width="14" customWidth="1" min="7" max="7"/>
    <col width="22" customWidth="1" min="8" max="8"/>
    <col width="60" customWidth="1" min="9" max="9"/>
  </cols>
  <sheetData>
    <row r="2">
      <c r="B2" s="19" t="inlineStr">
        <is>
          <t>HPC Reference Architecture Library — pre-prepared BoMs for vendor agility</t>
        </is>
      </c>
    </row>
    <row r="3">
      <c r="B3" s="32" t="inlineStr">
        <is>
          <t>IN PLAIN ENGLISH: AIdeology has prepared NVIDIA-Certified reference architectures for every major OEM. When a Tier 3 deal lands, we pick the matching RA and produce a customer-specific BoM in days, not weeks.</t>
        </is>
      </c>
    </row>
    <row r="5">
      <c r="B5" s="23" t="inlineStr">
        <is>
          <t>A. NVIDIA Enterprise RA families</t>
        </is>
      </c>
    </row>
    <row r="6">
      <c r="B6" s="24" t="inlineStr">
        <is>
          <t>Family</t>
        </is>
      </c>
      <c r="C6" s="24" t="inlineStr">
        <is>
          <t>Pattern (C-G-N-B)</t>
        </is>
      </c>
      <c r="D6" s="24" t="inlineStr">
        <is>
          <t>GPU</t>
        </is>
      </c>
      <c r="E6" s="24" t="inlineStr">
        <is>
          <t>Default size (4-node SU)</t>
        </is>
      </c>
      <c r="F6" s="24" t="inlineStr">
        <is>
          <t>Max size</t>
        </is>
      </c>
      <c r="G6" s="24" t="inlineStr">
        <is>
          <t>Best fit</t>
        </is>
      </c>
    </row>
    <row r="7">
      <c r="B7" s="56" t="inlineStr">
        <is>
          <t>Enterprise RA · RTX PRO</t>
        </is>
      </c>
      <c r="C7" s="56" t="inlineStr">
        <is>
          <t>2-8-5-200</t>
        </is>
      </c>
      <c r="D7" s="56" t="inlineStr">
        <is>
          <t>RTX PRO 6000 Blackwell SE</t>
        </is>
      </c>
      <c r="E7" s="56" t="inlineStr">
        <is>
          <t>4 nodes / 32 GPUs</t>
        </is>
      </c>
      <c r="F7" s="56" t="inlineStr">
        <is>
          <t>32 nodes / 256 GPUs</t>
        </is>
      </c>
      <c r="G7" s="56" t="inlineStr">
        <is>
          <t>Mid-density inference, agentic AI, fine-tuning at scale, dept-level GPUaaS</t>
        </is>
      </c>
    </row>
    <row r="8">
      <c r="B8" s="56" t="inlineStr">
        <is>
          <t>HGX AI Factory</t>
        </is>
      </c>
      <c r="C8" s="56" t="inlineStr">
        <is>
          <t>2-8-9-400</t>
        </is>
      </c>
      <c r="D8" s="56" t="inlineStr">
        <is>
          <t>HGX H200 / B200</t>
        </is>
      </c>
      <c r="E8" s="56" t="inlineStr">
        <is>
          <t>4 nodes / 32 GPUs</t>
        </is>
      </c>
      <c r="F8" s="56" t="inlineStr">
        <is>
          <t>128 nodes / 1,024 GPUs</t>
        </is>
      </c>
      <c r="G8" s="56" t="inlineStr">
        <is>
          <t>Workhorse training &amp; fine-tuning, sovereign GPUaaS, regulated training jobs</t>
        </is>
      </c>
    </row>
    <row r="9">
      <c r="B9" s="56" t="inlineStr">
        <is>
          <t>HGX B300 Single Plane</t>
        </is>
      </c>
      <c r="C9" s="56" t="inlineStr">
        <is>
          <t>2-8-9-800</t>
        </is>
      </c>
      <c r="D9" s="56" t="inlineStr">
        <is>
          <t>HGX B300</t>
        </is>
      </c>
      <c r="E9" s="56" t="inlineStr">
        <is>
          <t>4 nodes / 32 GPUs</t>
        </is>
      </c>
      <c r="F9" s="56" t="inlineStr">
        <is>
          <t>32 nodes / 256 GPUs</t>
        </is>
      </c>
      <c r="G9" s="56" t="inlineStr">
        <is>
          <t>Frontier model training, advanced inference, AI factory build-out</t>
        </is>
      </c>
    </row>
    <row r="12">
      <c r="B12" s="23" t="inlineStr">
        <is>
          <t>B. OEM-validated solutions (pre-prepared BoMs in hand)</t>
        </is>
      </c>
    </row>
    <row r="13">
      <c r="B13" s="24" t="inlineStr">
        <is>
          <t>Vendor</t>
        </is>
      </c>
      <c r="C13" s="24" t="inlineStr">
        <is>
          <t>Solution</t>
        </is>
      </c>
      <c r="D13" s="24" t="inlineStr">
        <is>
          <t>Server</t>
        </is>
      </c>
      <c r="E13" s="24" t="inlineStr">
        <is>
          <t>GPU</t>
        </is>
      </c>
      <c r="F13" s="24" t="inlineStr">
        <is>
          <t>Pattern</t>
        </is>
      </c>
      <c r="G13" s="24" t="inlineStr">
        <is>
          <t>Size range</t>
        </is>
      </c>
      <c r="H13" s="24" t="inlineStr">
        <is>
          <t>Endorsements</t>
        </is>
      </c>
      <c r="I13" s="24" t="inlineStr">
        <is>
          <t>Notes</t>
        </is>
      </c>
    </row>
    <row r="14">
      <c r="B14" s="56" t="inlineStr">
        <is>
          <t>Cisco</t>
        </is>
      </c>
      <c r="C14" s="56" t="inlineStr">
        <is>
          <t>Nexus Hyperfabric AI ERA</t>
        </is>
      </c>
      <c r="D14" s="56" t="inlineStr">
        <is>
          <t>UCS C885A Rack Server</t>
        </is>
      </c>
      <c r="E14" s="56" t="inlineStr">
        <is>
          <t>HGX H200</t>
        </is>
      </c>
      <c r="F14" s="56" t="inlineStr">
        <is>
          <t>2-8-9-400 → 2-8-10-400</t>
        </is>
      </c>
      <c r="G14" s="56" t="inlineStr">
        <is>
          <t>4 – 128</t>
        </is>
      </c>
      <c r="H14" s="56" t="inlineStr">
        <is>
          <t>Infra · Spectrum-X · Networking</t>
        </is>
      </c>
      <c r="I14" s="56" t="inlineStr">
        <is>
          <t>Deep telco-network alignment with e&amp;; preferred for sovereign GPUaaS.</t>
        </is>
      </c>
    </row>
    <row r="15">
      <c r="B15" s="56" t="inlineStr">
        <is>
          <t>Cisco</t>
        </is>
      </c>
      <c r="C15" s="56" t="inlineStr">
        <is>
          <t>Nexus 9000 ERA</t>
        </is>
      </c>
      <c r="D15" s="56" t="inlineStr">
        <is>
          <t>UCS C885A Rack Server</t>
        </is>
      </c>
      <c r="E15" s="56" t="inlineStr">
        <is>
          <t>HGX H200</t>
        </is>
      </c>
      <c r="F15" s="56" t="inlineStr">
        <is>
          <t>2-8-9-400</t>
        </is>
      </c>
      <c r="G15" s="56" t="inlineStr">
        <is>
          <t>4 – 128</t>
        </is>
      </c>
      <c r="H15" s="56" t="inlineStr">
        <is>
          <t>Infra · Spectrum-X · Networking</t>
        </is>
      </c>
      <c r="I15" s="56" t="inlineStr">
        <is>
          <t>Same UCS server, alternate fabric for existing Nexus 9000 customers.</t>
        </is>
      </c>
    </row>
    <row r="16">
      <c r="B16" s="56" t="inlineStr">
        <is>
          <t>Cisco</t>
        </is>
      </c>
      <c r="C16" s="56" t="inlineStr">
        <is>
          <t>AI POD Infrastructure</t>
        </is>
      </c>
      <c r="D16" s="56" t="inlineStr">
        <is>
          <t>UCS C885A M8</t>
        </is>
      </c>
      <c r="E16" s="56" t="inlineStr">
        <is>
          <t>HGX H200</t>
        </is>
      </c>
      <c r="F16" s="56" t="inlineStr">
        <is>
          <t>2-8-9-400</t>
        </is>
      </c>
      <c r="G16" s="56" t="inlineStr">
        <is>
          <t>4 – 16</t>
        </is>
      </c>
      <c r="H16" s="56" t="inlineStr">
        <is>
          <t>Infra · Spectrum-X</t>
        </is>
      </c>
      <c r="I16" s="56" t="inlineStr">
        <is>
          <t>Smaller POD; ideal for first-deployment on-prem PoC or single-customer enterprise.</t>
        </is>
      </c>
    </row>
    <row r="17">
      <c r="B17" s="56" t="inlineStr">
        <is>
          <t>Dell Technologies</t>
        </is>
      </c>
      <c r="C17" s="56" t="inlineStr">
        <is>
          <t>Dell AI Factory with NVIDIA</t>
        </is>
      </c>
      <c r="D17" s="56" t="inlineStr">
        <is>
          <t>PowerEdge XE7745</t>
        </is>
      </c>
      <c r="E17" s="56" t="inlineStr">
        <is>
          <t>RTX PRO 6000 Blackwell SE / H200 NVL</t>
        </is>
      </c>
      <c r="F17" s="56" t="inlineStr">
        <is>
          <t>2-8-5-200</t>
        </is>
      </c>
      <c r="G17" s="56" t="inlineStr">
        <is>
          <t>4, 16</t>
        </is>
      </c>
      <c r="H17" s="56" t="inlineStr">
        <is>
          <t>Infra · Spectrum-X · Networking</t>
        </is>
      </c>
      <c r="I17" s="56" t="inlineStr">
        <is>
          <t>Strongest agentic AI reference. Mid-density inference workhorse.</t>
        </is>
      </c>
    </row>
    <row r="18">
      <c r="B18" s="56" t="inlineStr">
        <is>
          <t>Dell Technologies</t>
        </is>
      </c>
      <c r="C18" s="56" t="inlineStr">
        <is>
          <t>Dell AI Factory with NVIDIA</t>
        </is>
      </c>
      <c r="D18" s="56" t="inlineStr">
        <is>
          <t>PowerEdge XE7740</t>
        </is>
      </c>
      <c r="E18" s="56" t="inlineStr">
        <is>
          <t>RTX PRO 6000 Blackwell SE / H200 NVL</t>
        </is>
      </c>
      <c r="F18" s="56" t="inlineStr">
        <is>
          <t>2-8-5-200</t>
        </is>
      </c>
      <c r="G18" s="56" t="inlineStr">
        <is>
          <t>4, 16</t>
        </is>
      </c>
      <c r="H18" s="56" t="inlineStr">
        <is>
          <t>Infra · Spectrum-X · Networking</t>
        </is>
      </c>
      <c r="I18" s="56" t="inlineStr">
        <is>
          <t>Slightly different chassis; inference-leaning.</t>
        </is>
      </c>
    </row>
    <row r="19">
      <c r="B19" s="56" t="inlineStr">
        <is>
          <t>Dell Technologies</t>
        </is>
      </c>
      <c r="C19" s="56" t="inlineStr">
        <is>
          <t>Dell AI Factory with NVIDIA</t>
        </is>
      </c>
      <c r="D19" s="56" t="inlineStr">
        <is>
          <t>PowerEdge XE9680</t>
        </is>
      </c>
      <c r="E19" s="56" t="inlineStr">
        <is>
          <t>HGX H200</t>
        </is>
      </c>
      <c r="F19" s="56" t="inlineStr">
        <is>
          <t>2-8-9-400</t>
        </is>
      </c>
      <c r="G19" s="56" t="inlineStr">
        <is>
          <t>4, 12</t>
        </is>
      </c>
      <c r="H19" s="56" t="inlineStr">
        <is>
          <t>Infra · Spectrum-X · Networking</t>
        </is>
      </c>
      <c r="I19" s="56" t="inlineStr">
        <is>
          <t>HGX-class training. Up to 12 SUs / 96 GPUs.</t>
        </is>
      </c>
    </row>
    <row r="20">
      <c r="B20" s="56" t="inlineStr">
        <is>
          <t>Dell Federal</t>
        </is>
      </c>
      <c r="C20" s="56" t="inlineStr">
        <is>
          <t>Dell AI Factory for Government</t>
        </is>
      </c>
      <c r="D20" s="56" t="inlineStr">
        <is>
          <t>PowerEdge XE7740 / XE7745</t>
        </is>
      </c>
      <c r="E20" s="56" t="inlineStr">
        <is>
          <t>RTX PRO 6000 Blackwell SE</t>
        </is>
      </c>
      <c r="F20" s="56" t="inlineStr">
        <is>
          <t>2-8-5-200</t>
        </is>
      </c>
      <c r="G20" s="56" t="inlineStr">
        <is>
          <t>4 – 32</t>
        </is>
      </c>
      <c r="H20" s="56" t="inlineStr">
        <is>
          <t>Infra · Spectrum-X</t>
        </is>
      </c>
      <c r="I20" s="56" t="inlineStr">
        <is>
          <t>Government-validated SKU; FedRAMP-aligned procurement.</t>
        </is>
      </c>
    </row>
    <row r="21">
      <c r="B21" s="56" t="inlineStr">
        <is>
          <t>Lenovo</t>
        </is>
      </c>
      <c r="C21" s="56" t="inlineStr">
        <is>
          <t>Lenovo Hybrid AI 289</t>
        </is>
      </c>
      <c r="D21" s="56" t="inlineStr">
        <is>
          <t>ThinkSystem SR680a V3</t>
        </is>
      </c>
      <c r="E21" s="56" t="inlineStr">
        <is>
          <t>HGX B200 / H200</t>
        </is>
      </c>
      <c r="F21" s="56" t="inlineStr">
        <is>
          <t>2-8-9-400</t>
        </is>
      </c>
      <c r="G21" s="56" t="inlineStr">
        <is>
          <t>4 – 32</t>
        </is>
      </c>
      <c r="H21" s="56" t="inlineStr">
        <is>
          <t>Infra · Spectrum-X · Networking</t>
        </is>
      </c>
      <c r="I21" s="56" t="inlineStr">
        <is>
          <t>Strong B200 path; co-engineered with NVIDIA on hybrid AI.</t>
        </is>
      </c>
    </row>
    <row r="22">
      <c r="B22" s="56" t="inlineStr">
        <is>
          <t>Supermicro</t>
        </is>
      </c>
      <c r="C22" s="56" t="inlineStr">
        <is>
          <t>AI Factory · HGX</t>
        </is>
      </c>
      <c r="D22" s="56" t="inlineStr">
        <is>
          <t>SYS-A22GA-NBRT-G1</t>
        </is>
      </c>
      <c r="E22" s="56" t="inlineStr">
        <is>
          <t>HGX B200</t>
        </is>
      </c>
      <c r="F22" s="56" t="inlineStr">
        <is>
          <t>2-8-9-400</t>
        </is>
      </c>
      <c r="G22" s="56" t="inlineStr">
        <is>
          <t>4 – 32</t>
        </is>
      </c>
      <c r="H22" s="56" t="inlineStr">
        <is>
          <t>Infra · Spectrum-X</t>
        </is>
      </c>
      <c r="I22" s="56" t="inlineStr">
        <is>
          <t>Aggressive pricing on HGX class; favoured for fine-tune-heavy tenants.</t>
        </is>
      </c>
    </row>
    <row r="23">
      <c r="B23" s="56" t="inlineStr">
        <is>
          <t>Supermicro</t>
        </is>
      </c>
      <c r="C23" s="56" t="inlineStr">
        <is>
          <t>AI Factory · RTX PRO 6000</t>
        </is>
      </c>
      <c r="D23" s="56" t="inlineStr">
        <is>
          <t>SYS-522GA-NRT / SYS-422GL-NR / AS-5126GS-TNRT2</t>
        </is>
      </c>
      <c r="E23" s="56" t="inlineStr">
        <is>
          <t>RTX PRO 6000 Blackwell SE</t>
        </is>
      </c>
      <c r="F23" s="56" t="inlineStr">
        <is>
          <t>2-8-5-200</t>
        </is>
      </c>
      <c r="G23" s="56" t="inlineStr">
        <is>
          <t>4 – 32</t>
        </is>
      </c>
      <c r="H23" s="56" t="inlineStr">
        <is>
          <t>Infra · Spectrum-X</t>
        </is>
      </c>
      <c r="I23" s="56" t="inlineStr">
        <is>
          <t>Mid-density inference; lowest TCO of RTX PRO RAs.</t>
        </is>
      </c>
    </row>
    <row r="24">
      <c r="B24" s="56" t="inlineStr">
        <is>
          <t>Supermicro</t>
        </is>
      </c>
      <c r="C24" s="56" t="inlineStr">
        <is>
          <t>AI Factory · HGX B300 Single Plane</t>
        </is>
      </c>
      <c r="D24" s="56" t="inlineStr">
        <is>
          <t>SYS-822GS-NB3RT</t>
        </is>
      </c>
      <c r="E24" s="56" t="inlineStr">
        <is>
          <t>HGX B300 Single Plane</t>
        </is>
      </c>
      <c r="F24" s="56" t="inlineStr">
        <is>
          <t>2-8-9-800</t>
        </is>
      </c>
      <c r="G24" s="56" t="inlineStr">
        <is>
          <t>4, 8, 32</t>
        </is>
      </c>
      <c r="H24" s="56" t="inlineStr">
        <is>
          <t>Infra · Spectrum-X</t>
        </is>
      </c>
      <c r="I24" s="56" t="inlineStr">
        <is>
          <t>Frontier B300 — best for any new-flagship training opportunity.</t>
        </is>
      </c>
    </row>
    <row r="27">
      <c r="B27" s="23" t="inlineStr">
        <is>
          <t>C. Indicative BoM list-price ranges (vendor MSRP — e&amp; negotiating discount typically 20-35%)</t>
        </is>
      </c>
    </row>
    <row r="28">
      <c r="B28" s="24" t="inlineStr">
        <is>
          <t>BoM size (GPUs)</t>
        </is>
      </c>
      <c r="C28" s="24" t="inlineStr">
        <is>
          <t>Pattern</t>
        </is>
      </c>
      <c r="D28" s="24" t="inlineStr">
        <is>
          <t>List-price range (USD)</t>
        </is>
      </c>
      <c r="E28" s="24" t="inlineStr">
        <is>
          <t>Indicative compute &amp; storage</t>
        </is>
      </c>
      <c r="F28" s="24" t="inlineStr">
        <is>
          <t>AIdeology BoM coordination fee</t>
        </is>
      </c>
    </row>
    <row r="29">
      <c r="B29" s="56" t="inlineStr">
        <is>
          <t>32 GPUs · 4 nodes (1 SU)</t>
        </is>
      </c>
      <c r="C29" s="56" t="inlineStr">
        <is>
          <t>2-8-5-200 (RTX PRO)</t>
        </is>
      </c>
      <c r="D29" s="56" t="inlineStr">
        <is>
          <t>$1.5M – $2.5M</t>
        </is>
      </c>
      <c r="E29" s="56" t="inlineStr">
        <is>
          <t>Mid-density inference + small fine-tune. ~250 TB AI storage.</t>
        </is>
      </c>
      <c r="F29" s="56" t="inlineStr">
        <is>
          <t>Included in Tier 3 Sheet 6</t>
        </is>
      </c>
    </row>
    <row r="30">
      <c r="B30" s="56" t="inlineStr">
        <is>
          <t>32 GPUs · 4 nodes (1 SU)</t>
        </is>
      </c>
      <c r="C30" s="56" t="inlineStr">
        <is>
          <t>2-8-9-400 (HGX H200)</t>
        </is>
      </c>
      <c r="D30" s="56" t="inlineStr">
        <is>
          <t>$2.5M – $3.5M</t>
        </is>
      </c>
      <c r="E30" s="56" t="inlineStr">
        <is>
          <t>Training + fine-tune workhorse. ~500 TB AI storage.</t>
        </is>
      </c>
      <c r="F30" s="56" t="inlineStr">
        <is>
          <t>Included in Tier 3 Sheet 6</t>
        </is>
      </c>
    </row>
    <row r="31">
      <c r="B31" s="56" t="inlineStr">
        <is>
          <t>128 GPUs · 16 nodes (4 SUs)</t>
        </is>
      </c>
      <c r="C31" s="56" t="inlineStr">
        <is>
          <t>2-8-5-200 (RTX PRO)</t>
        </is>
      </c>
      <c r="D31" s="56" t="inlineStr">
        <is>
          <t>$5M – $8M</t>
        </is>
      </c>
      <c r="E31" s="56" t="inlineStr">
        <is>
          <t>Departmental GPUaaS; multiple tenants.</t>
        </is>
      </c>
      <c r="F31" s="56" t="inlineStr">
        <is>
          <t>+$25K (allowance — Sheet 6)</t>
        </is>
      </c>
    </row>
    <row r="32">
      <c r="B32" s="56" t="inlineStr">
        <is>
          <t>256 GPUs · 32 nodes (8 SUs / Standard Pod)</t>
        </is>
      </c>
      <c r="C32" s="56" t="inlineStr">
        <is>
          <t>2-8-9-400 (HGX H200/B200)</t>
        </is>
      </c>
      <c r="D32" s="56" t="inlineStr">
        <is>
          <t>$15M – $22M</t>
        </is>
      </c>
      <c r="E32" s="56" t="inlineStr">
        <is>
          <t>Standard fully-tested pod. Sovereign GPUaaS or flagship enterprise.</t>
        </is>
      </c>
      <c r="F32" s="56" t="inlineStr">
        <is>
          <t>+$50K (uplift)</t>
        </is>
      </c>
    </row>
    <row r="33">
      <c r="B33" s="56" t="inlineStr">
        <is>
          <t>1,024 GPUs · 128 nodes (32 SUs / Max Pod)</t>
        </is>
      </c>
      <c r="C33" s="56" t="inlineStr">
        <is>
          <t>2-8-9-400 (HGX H200/B200)</t>
        </is>
      </c>
      <c r="D33" s="56" t="inlineStr">
        <is>
          <t>$60M – $90M</t>
        </is>
      </c>
      <c r="E33" s="56" t="inlineStr">
        <is>
          <t>Frontier-scale, multi-pod. Government / consortium build-out.</t>
        </is>
      </c>
      <c r="F33" s="56" t="inlineStr">
        <is>
          <t>+$150K (uplift)</t>
        </is>
      </c>
    </row>
    <row r="36">
      <c r="B36" s="23" t="inlineStr">
        <is>
          <t>Reading guidance</t>
        </is>
      </c>
    </row>
    <row r="37">
      <c r="B37" s="22" t="inlineStr">
        <is>
          <t>• AIdeology does not sell hardware — the OEM or e&amp; takes that line. Our role is BoM coordination + integration, costed in Sheet 6.</t>
        </is>
      </c>
    </row>
    <row r="38">
      <c r="B38" s="22" t="inlineStr">
        <is>
          <t>• For deals &gt; 256 GPUs, AIdeology charges a BoM coordination uplift (column 6 above) on top of the standard Tier 3 cost stack.</t>
        </is>
      </c>
    </row>
    <row r="39">
      <c r="B39" s="22" t="inlineStr">
        <is>
          <t>• Source: NVIDIA Enterprise Reference Architecture white paper — docs.nvidia.com/enterprise-reference-architectures.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26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6" customWidth="1" min="4" max="4"/>
    <col width="16" customWidth="1" min="5" max="5"/>
    <col width="18" customWidth="1" min="6" max="6"/>
    <col width="50" customWidth="1" min="7" max="7"/>
  </cols>
  <sheetData>
    <row r="2">
      <c r="B2" s="19" t="inlineStr">
        <is>
          <t>Sensitivity — Pipeline volume × tier mix × revenue split</t>
        </is>
      </c>
    </row>
    <row r="3">
      <c r="B3" s="32" t="inlineStr">
        <is>
          <t>IN PLAIN ENGLISH: How does AIdeology's 3-year revenue change under different pipeline assumptions and revenue splits?</t>
        </is>
      </c>
    </row>
    <row r="5">
      <c r="B5" s="23" t="inlineStr">
        <is>
          <t>A. Pipeline scenarios — 3-year deal volume</t>
        </is>
      </c>
    </row>
    <row r="6">
      <c r="B6" s="24" t="inlineStr">
        <is>
          <t>Scenario</t>
        </is>
      </c>
      <c r="C6" s="24" t="inlineStr">
        <is>
          <t>Year 1 deals</t>
        </is>
      </c>
      <c r="D6" s="24" t="inlineStr">
        <is>
          <t>Year 2 deals</t>
        </is>
      </c>
      <c r="E6" s="24" t="inlineStr">
        <is>
          <t>Year 3 deals</t>
        </is>
      </c>
      <c r="F6" s="24" t="inlineStr">
        <is>
          <t>3-Year Total</t>
        </is>
      </c>
      <c r="G6" s="24" t="inlineStr">
        <is>
          <t>Notes</t>
        </is>
      </c>
    </row>
    <row r="7">
      <c r="B7" s="25" t="inlineStr">
        <is>
          <t>Low — slow ramp (3, 8, 15)</t>
        </is>
      </c>
      <c r="C7" s="26" t="n">
        <v>3</v>
      </c>
      <c r="D7" s="26" t="n">
        <v>8</v>
      </c>
      <c r="E7" s="26" t="n">
        <v>15</v>
      </c>
      <c r="F7" s="48">
        <f>SUM(C7:E7)</f>
        <v/>
      </c>
      <c r="G7" s="28" t="inlineStr">
        <is>
          <t>Conservative: 3-8-15 deals. JSX low end.</t>
        </is>
      </c>
    </row>
    <row r="8">
      <c r="B8" s="25" t="inlineStr">
        <is>
          <t>Mid — baseline (4, 11, 18)</t>
        </is>
      </c>
      <c r="C8" s="26" t="n">
        <v>4</v>
      </c>
      <c r="D8" s="26" t="n">
        <v>11</v>
      </c>
      <c r="E8" s="26" t="n">
        <v>18</v>
      </c>
      <c r="F8" s="48">
        <f>SUM(C8:E8)</f>
        <v/>
      </c>
      <c r="G8" s="28" t="inlineStr">
        <is>
          <t>Baseline used in Sheet 9. JSX mid.</t>
        </is>
      </c>
    </row>
    <row r="9">
      <c r="B9" s="25" t="inlineStr">
        <is>
          <t>High — strong adoption (8, 15, 25)</t>
        </is>
      </c>
      <c r="C9" s="26" t="n">
        <v>8</v>
      </c>
      <c r="D9" s="26" t="n">
        <v>15</v>
      </c>
      <c r="E9" s="26" t="n">
        <v>25</v>
      </c>
      <c r="F9" s="48">
        <f>SUM(C9:E9)</f>
        <v/>
      </c>
      <c r="G9" s="28" t="inlineStr">
        <is>
          <t>Aggressive: 8-15-25 deals. JSX high end.</t>
        </is>
      </c>
    </row>
    <row r="12">
      <c r="B12" s="23" t="inlineStr">
        <is>
          <t>B. Average revenue per deal (mix-weighted)</t>
        </is>
      </c>
    </row>
    <row r="13">
      <c r="B13" s="25" t="inlineStr">
        <is>
          <t>Tier 1 avg agents per deal × T1 price + Tier 2 + Tier 3 + Custom</t>
        </is>
      </c>
      <c r="C13" s="40">
        <f>'1. Cover &amp; Assumptions'!$C$45 * '1. Cover &amp; Assumptions'!$C$49 * '8. Pricing Summary'!$E$20 + '1. Cover &amp; Assumptions'!$C$46 * '8. Pricing Summary'!$E$30 + '1. Cover &amp; Assumptions'!$C$47 * '8. Pricing Summary'!$E$36 + '1. Cover &amp; Assumptions'!$C$48 * '7. Custom Bespoke'!$E$26</f>
        <v/>
      </c>
      <c r="G13" s="22" t="inlineStr">
        <is>
          <t>Single number = expected gross revenue per deal at current Tier mix.</t>
        </is>
      </c>
    </row>
    <row r="16">
      <c r="B16" s="23" t="inlineStr">
        <is>
          <t>C. AIdeology 3-year revenue (USD) — Scenario × Revenue split</t>
        </is>
      </c>
    </row>
    <row r="17">
      <c r="B17" s="24" t="inlineStr">
        <is>
          <t>Pipeline scenario</t>
        </is>
      </c>
      <c r="C17" s="24" t="inlineStr">
        <is>
          <t>50/50 split</t>
        </is>
      </c>
      <c r="D17" s="24" t="inlineStr">
        <is>
          <t>60/40 split (mid)</t>
        </is>
      </c>
      <c r="E17" s="24" t="inlineStr">
        <is>
          <t>70/30 split</t>
        </is>
      </c>
      <c r="F17" s="24" t="inlineStr">
        <is>
          <t>Notes</t>
        </is>
      </c>
    </row>
    <row r="18">
      <c r="B18" s="25" t="inlineStr">
        <is>
          <t>Low — slow ramp (3, 8, 15)</t>
        </is>
      </c>
      <c r="C18" s="42">
        <f>(F7*$C$13)*(1+0.3)*0.5</f>
        <v/>
      </c>
      <c r="D18" s="42">
        <f>(F7*$C$13)*(1+0.3)*0.6</f>
        <v/>
      </c>
      <c r="E18" s="42">
        <f>(F7*$C$13)*(1+0.3)*0.7</f>
        <v/>
      </c>
      <c r="G18" s="41" t="inlineStr">
        <is>
          <t>Total deals × avg revenue × (1 + 30% managed) × split %</t>
        </is>
      </c>
    </row>
    <row r="19">
      <c r="B19" s="25" t="inlineStr">
        <is>
          <t>Mid — baseline (4, 11, 18)</t>
        </is>
      </c>
      <c r="C19" s="42">
        <f>(F8*$C$13)*(1+0.3)*0.5</f>
        <v/>
      </c>
      <c r="D19" s="57">
        <f>(F8*$C$13)*(1+0.3)*0.6</f>
        <v/>
      </c>
      <c r="E19" s="42">
        <f>(F8*$C$13)*(1+0.3)*0.7</f>
        <v/>
      </c>
      <c r="G19" s="41" t="inlineStr">
        <is>
          <t>Total deals × avg revenue × (1 + 30% managed) × split %</t>
        </is>
      </c>
    </row>
    <row r="20">
      <c r="B20" s="25" t="inlineStr">
        <is>
          <t>High — strong adoption (8, 15, 25)</t>
        </is>
      </c>
      <c r="C20" s="42">
        <f>(F9*$C$13)*(1+0.3)*0.5</f>
        <v/>
      </c>
      <c r="D20" s="42">
        <f>(F9*$C$13)*(1+0.3)*0.6</f>
        <v/>
      </c>
      <c r="E20" s="42">
        <f>(F9*$C$13)*(1+0.3)*0.7</f>
        <v/>
      </c>
      <c r="G20" s="41" t="inlineStr">
        <is>
          <t>Total deals × avg revenue × (1 + 30% managed) × split %</t>
        </is>
      </c>
    </row>
    <row r="22">
      <c r="B22" s="23" t="inlineStr">
        <is>
          <t>D. Tier mix sensitivity (per-deal revenue change)</t>
        </is>
      </c>
    </row>
    <row r="23">
      <c r="B23" s="24" t="inlineStr">
        <is>
          <t>Mix scenario</t>
        </is>
      </c>
      <c r="C23" s="24" t="inlineStr">
        <is>
          <t>T1 %</t>
        </is>
      </c>
      <c r="D23" s="24" t="inlineStr">
        <is>
          <t>T2 %</t>
        </is>
      </c>
      <c r="E23" s="24" t="inlineStr">
        <is>
          <t>T3 %</t>
        </is>
      </c>
      <c r="F23" s="24" t="inlineStr">
        <is>
          <t>Avg revenue / deal</t>
        </is>
      </c>
    </row>
    <row r="24">
      <c r="B24" s="25" t="inlineStr">
        <is>
          <t>Tier 1 heavy (small deals)</t>
        </is>
      </c>
      <c r="C24" s="58" t="n">
        <v>0.55</v>
      </c>
      <c r="D24" s="58" t="n">
        <v>0.3</v>
      </c>
      <c r="E24" s="58" t="n">
        <v>0.1</v>
      </c>
      <c r="F24" s="42">
        <f>C24*'1. Cover &amp; Assumptions'!$C$49*'8. Pricing Summary'!$E$20 + D24*'8. Pricing Summary'!$E$30 + E24*'8. Pricing Summary'!$E$36 + 0.05*'7. Custom Bespoke'!$E$26</f>
        <v/>
      </c>
    </row>
    <row r="25">
      <c r="B25" s="25" t="inlineStr">
        <is>
          <t>Baseline</t>
        </is>
      </c>
      <c r="C25" s="58" t="n">
        <v>0.35</v>
      </c>
      <c r="D25" s="58" t="n">
        <v>0.45</v>
      </c>
      <c r="E25" s="58" t="n">
        <v>0.15</v>
      </c>
      <c r="F25" s="42">
        <f>C25*'1. Cover &amp; Assumptions'!$C$49*'8. Pricing Summary'!$E$20 + D25*'8. Pricing Summary'!$E$30 + E25*'8. Pricing Summary'!$E$36 + 0.05*'7. Custom Bespoke'!$E$26</f>
        <v/>
      </c>
    </row>
    <row r="26">
      <c r="B26" s="25" t="inlineStr">
        <is>
          <t>Tier 3 heavy (flagships)</t>
        </is>
      </c>
      <c r="C26" s="58" t="n">
        <v>0.2</v>
      </c>
      <c r="D26" s="58" t="n">
        <v>0.4</v>
      </c>
      <c r="E26" s="58" t="n">
        <v>0.35</v>
      </c>
      <c r="F26" s="42">
        <f>C26*'1. Cover &amp; Assumptions'!$C$49*'8. Pricing Summary'!$E$20 + D26*'8. Pricing Summary'!$E$30 + E26*'8. Pricing Summary'!$E$36 + 0.05*'7. Custom Bespoke'!$E$26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2026-05-10T18:15:19Z</dcterms:created>
  <dcterms:modified xmlns:dcterms="http://purl.org/dc/terms/" xmlns:xsi="http://www.w3.org/2001/XMLSchema-instance" xsi:type="dcterms:W3CDTF">2026-05-10T18:15:19Z</dcterms:modified>
</cp:coreProperties>
</file>